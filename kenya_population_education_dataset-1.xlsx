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BEST\Desktop\"/>
    </mc:Choice>
  </mc:AlternateContent>
  <xr:revisionPtr revIDLastSave="0" documentId="13_ncr:1_{36204804-F18A-4169-9715-54DA19CE2B7B}" xr6:coauthVersionLast="47" xr6:coauthVersionMax="47" xr10:uidLastSave="{00000000-0000-0000-0000-000000000000}"/>
  <bookViews>
    <workbookView xWindow="-110" yWindow="-110" windowWidth="19420" windowHeight="10300" activeTab="3" xr2:uid="{00000000-000D-0000-FFFF-FFFF00000000}"/>
  </bookViews>
  <sheets>
    <sheet name="Kenya_Data" sheetId="1" r:id="rId1"/>
    <sheet name="cleaning" sheetId="2" r:id="rId2"/>
    <sheet name="Pivot tables" sheetId="3" r:id="rId3"/>
    <sheet name="Charts &amp;dashboards" sheetId="5" r:id="rId4"/>
    <sheet name="Detail1" sheetId="4" r:id="rId5"/>
  </sheets>
  <definedNames>
    <definedName name="_xlchart.v1.0" hidden="1">cleaning!$D$2:$D$112</definedName>
    <definedName name="_xlchart.v1.1" hidden="1">cleaning!$F$1</definedName>
    <definedName name="_xlchart.v1.10" hidden="1">cleaning!$F$1</definedName>
    <definedName name="_xlchart.v1.11" hidden="1">cleaning!$F$2:$F$112</definedName>
    <definedName name="_xlchart.v1.2" hidden="1">cleaning!$F$2:$F$112</definedName>
    <definedName name="_xlchart.v1.3" hidden="1">cleaning!$D$2:$D$112</definedName>
    <definedName name="_xlchart.v1.4" hidden="1">cleaning!$F$1</definedName>
    <definedName name="_xlchart.v1.5" hidden="1">cleaning!$F$2:$F$112</definedName>
    <definedName name="_xlchart.v1.6" hidden="1">cleaning!$D$2:$D$112</definedName>
    <definedName name="_xlchart.v1.7" hidden="1">cleaning!$F$1</definedName>
    <definedName name="_xlchart.v1.8" hidden="1">cleaning!$F$2:$F$112</definedName>
    <definedName name="_xlchart.v1.9" hidden="1">cleaning!$D$2:$D$112</definedName>
    <definedName name="Slicer_County">#N/A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5" l="1"/>
  <c r="G7" i="5"/>
  <c r="E7" i="5"/>
  <c r="S8" i="2"/>
  <c r="S9" i="2"/>
  <c r="S10" i="2"/>
  <c r="S11" i="2"/>
  <c r="S12" i="2"/>
  <c r="S13" i="2"/>
  <c r="S14" i="2"/>
  <c r="S6" i="2"/>
  <c r="S7" i="2"/>
  <c r="S5" i="2"/>
  <c r="M21" i="2"/>
  <c r="M22" i="2"/>
  <c r="M23" i="2"/>
  <c r="M24" i="2"/>
  <c r="M25" i="2"/>
  <c r="M26" i="2"/>
  <c r="M27" i="2"/>
  <c r="M28" i="2"/>
  <c r="M29" i="2"/>
  <c r="M20" i="2"/>
  <c r="F1" i="2"/>
  <c r="H1" i="2"/>
  <c r="L16" i="2"/>
  <c r="M13" i="2"/>
  <c r="M12" i="2"/>
  <c r="M11" i="2"/>
  <c r="M10" i="2"/>
  <c r="M9" i="2"/>
  <c r="M8" i="2"/>
  <c r="M7" i="2"/>
  <c r="M6" i="2"/>
  <c r="M5" i="2"/>
  <c r="M4" i="2"/>
</calcChain>
</file>

<file path=xl/sharedStrings.xml><?xml version="1.0" encoding="utf-8"?>
<sst xmlns="http://schemas.openxmlformats.org/spreadsheetml/2006/main" count="332" uniqueCount="40">
  <si>
    <t>County</t>
  </si>
  <si>
    <t>Year</t>
  </si>
  <si>
    <t>Population</t>
  </si>
  <si>
    <t>Secondary_Education_%</t>
  </si>
  <si>
    <t>Literacy_Rate_%</t>
  </si>
  <si>
    <t>Unemployment_Rate_%</t>
  </si>
  <si>
    <t>Average_Temperature_C</t>
  </si>
  <si>
    <t>Annual_Rainfall_mm</t>
  </si>
  <si>
    <t>Internet_Access_%</t>
  </si>
  <si>
    <t>Nairobi</t>
  </si>
  <si>
    <t>Kiambu</t>
  </si>
  <si>
    <t>Mombasa</t>
  </si>
  <si>
    <t>Kisumu</t>
  </si>
  <si>
    <t>KISUMU</t>
  </si>
  <si>
    <t>Nakuru</t>
  </si>
  <si>
    <t>MACHAKOS</t>
  </si>
  <si>
    <t>Kakamega</t>
  </si>
  <si>
    <t>KAKAMEGA</t>
  </si>
  <si>
    <t>Uasin Gishu</t>
  </si>
  <si>
    <t>Meru</t>
  </si>
  <si>
    <t>MERU</t>
  </si>
  <si>
    <t>Nyeri</t>
  </si>
  <si>
    <t>NYERI</t>
  </si>
  <si>
    <t>Machakos</t>
  </si>
  <si>
    <t>population</t>
  </si>
  <si>
    <t>Average literacy rate for counties &gt; 70 % education</t>
  </si>
  <si>
    <t>Rainfall totals</t>
  </si>
  <si>
    <t>Vlookup</t>
  </si>
  <si>
    <t>Country</t>
  </si>
  <si>
    <t>Internet-Access</t>
  </si>
  <si>
    <t>Literacy_Rate</t>
  </si>
  <si>
    <t>Row Labels</t>
  </si>
  <si>
    <t>Grand Total</t>
  </si>
  <si>
    <t>Sum of Population</t>
  </si>
  <si>
    <t>Sum of Secondary_Education_%</t>
  </si>
  <si>
    <t>Sum of Average_Temperature_C</t>
  </si>
  <si>
    <t>Sum of Annual_Rainfall_mm</t>
  </si>
  <si>
    <t>Sum of Internet_Access_%</t>
  </si>
  <si>
    <t>PIVOT TABLES</t>
  </si>
  <si>
    <t>Details for Sum of Population - County: Kakamega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</si>
</sst>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ont>
    <font>
      <b/>
      <sz val="11"/>
      <color theme="8" tint="-0.249977111117893"/>
      <name val="Calibri"/>
      <family val="2"/>
      <scheme val="minor"/>
    </font>
    <font>
      <b/>
      <sz val="11"/>
      <color rgb="FFFF0000"/>
      <name val="Calibri"/>
      <family val="2"/>
      <scheme val="minor"/>
    </font>
    <font>
      <b/>
      <sz val="11"/>
      <color theme="4"/>
      <name val="Calibri"/>
      <family val="2"/>
      <scheme val="minor"/>
    </font>
    <font>
      <b/>
      <sz val="11"/>
      <color theme="1"/>
      <name val="Calibri"/>
      <family val="2"/>
      <scheme val="minor"/>
    </font>
    <font>
      <b/>
      <sz val="18"/>
      <color rgb="FFFF0000"/>
      <name val="Calibri"/>
      <family val="2"/>
      <scheme val="minor"/>
    </font>
    <font>
      <b/>
      <sz val="11"/>
      <color theme="1" tint="0.34998626667073579"/>
      <name val="Calibri"/>
      <family val="2"/>
      <scheme val="minor"/>
    </font>
    <font>
      <sz val="11"/>
      <color theme="1" tint="0.34998626667073579"/>
      <name val="Calibri"/>
      <family val="2"/>
      <scheme val="minor"/>
    </font>
    <font>
      <b/>
      <sz val="11"/>
      <color rgb="FF7030A0"/>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2"/>
        <bgColor indexed="64"/>
      </patternFill>
    </fill>
    <fill>
      <patternFill patternType="solid">
        <fgColor theme="0" tint="-4.9989318521683403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0" fontId="5" fillId="0" borderId="0" xfId="0" applyFont="1"/>
    <xf numFmtId="0" fontId="7" fillId="2" borderId="0" xfId="0" applyFont="1" applyFill="1"/>
    <xf numFmtId="0" fontId="8" fillId="2" borderId="0" xfId="0" applyFont="1" applyFill="1"/>
    <xf numFmtId="0" fontId="9" fillId="2" borderId="0" xfId="0" applyFont="1" applyFill="1"/>
    <xf numFmtId="2" fontId="9" fillId="2" borderId="0" xfId="0" applyNumberFormat="1" applyFont="1" applyFill="1"/>
    <xf numFmtId="0" fontId="0" fillId="3" borderId="0" xfId="0" applyFill="1"/>
    <xf numFmtId="0" fontId="6" fillId="3" borderId="0" xfId="0" applyFont="1" applyFill="1"/>
    <xf numFmtId="0" fontId="0" fillId="3" borderId="0" xfId="0" applyFill="1" applyAlignment="1">
      <alignment horizontal="left"/>
    </xf>
    <xf numFmtId="0" fontId="0" fillId="3" borderId="0" xfId="0" applyNumberFormat="1" applyFill="1"/>
    <xf numFmtId="2" fontId="0" fillId="3" borderId="0" xfId="0" applyNumberFormat="1" applyFill="1"/>
    <xf numFmtId="0" fontId="0" fillId="4" borderId="0" xfId="0" applyFill="1"/>
    <xf numFmtId="2" fontId="0" fillId="4" borderId="0" xfId="0" applyNumberFormat="1" applyFill="1"/>
    <xf numFmtId="2" fontId="3" fillId="4" borderId="0" xfId="0" applyNumberFormat="1" applyFont="1" applyFill="1"/>
    <xf numFmtId="0" fontId="1" fillId="4" borderId="2" xfId="0" applyFont="1" applyFill="1" applyBorder="1" applyAlignment="1">
      <alignment horizontal="center" vertical="top"/>
    </xf>
    <xf numFmtId="2" fontId="1" fillId="4" borderId="2" xfId="0" applyNumberFormat="1" applyFont="1" applyFill="1" applyBorder="1" applyAlignment="1">
      <alignment horizontal="center" vertical="top"/>
    </xf>
    <xf numFmtId="0" fontId="2" fillId="4" borderId="0" xfId="0" applyFont="1" applyFill="1"/>
    <xf numFmtId="0" fontId="4" fillId="4" borderId="0" xfId="0" applyFont="1" applyFill="1"/>
    <xf numFmtId="0" fontId="3" fillId="4" borderId="0" xfId="0" applyFont="1" applyFill="1"/>
  </cellXfs>
  <cellStyles count="1">
    <cellStyle name="Normal" xfId="0" builtinId="0"/>
  </cellStyles>
  <dxfs count="121">
    <dxf>
      <numFmt numFmtId="2" formatCode="0.00"/>
      <fill>
        <patternFill patternType="solid">
          <fgColor indexed="64"/>
          <bgColor theme="0" tint="-4.9989318521683403E-2"/>
        </patternFill>
      </fill>
    </dxf>
    <dxf>
      <font>
        <b/>
        <i val="0"/>
        <strike val="0"/>
        <condense val="0"/>
        <extend val="0"/>
        <outline val="0"/>
        <shadow val="0"/>
        <u val="none"/>
        <vertAlign val="baseline"/>
        <sz val="11"/>
        <color auto="1"/>
        <name val="Calibri"/>
        <scheme val="none"/>
      </font>
      <numFmt numFmtId="2" formatCode="0.00"/>
      <fill>
        <patternFill patternType="solid">
          <fgColor indexed="64"/>
          <bgColor theme="0" tint="-4.9989318521683403E-2"/>
        </patternFill>
      </fill>
      <alignment horizontal="center" vertical="top" textRotation="0" wrapText="0" indent="0" justifyLastLine="0" shrinkToFit="0" readingOrder="0"/>
      <border diagonalUp="0" diagonalDown="0" outline="0">
        <left style="thin">
          <color auto="1"/>
        </left>
        <right style="thin">
          <color auto="1"/>
        </right>
        <top/>
        <bottom/>
      </border>
    </dxf>
    <dxf>
      <fill>
        <patternFill patternType="solid">
          <fgColor indexed="64"/>
          <bgColor theme="0" tint="-4.9989318521683403E-2"/>
        </patternFill>
      </fill>
    </dxf>
    <dxf>
      <fill>
        <patternFill patternType="solid">
          <fgColor indexed="64"/>
          <bgColor theme="0" tint="-4.9989318521683403E-2"/>
        </patternFill>
      </fill>
    </dxf>
    <dxf>
      <numFmt numFmtId="2" formatCode="0.00"/>
      <fill>
        <patternFill patternType="solid">
          <fgColor indexed="64"/>
          <bgColor theme="0" tint="-4.9989318521683403E-2"/>
        </patternFill>
      </fill>
    </dxf>
    <dxf>
      <numFmt numFmtId="2" formatCode="0.00"/>
      <fill>
        <patternFill patternType="solid">
          <fgColor indexed="64"/>
          <bgColor theme="0" tint="-4.9989318521683403E-2"/>
        </patternFill>
      </fill>
    </dxf>
    <dxf>
      <numFmt numFmtId="2" formatCode="0.00"/>
      <fill>
        <patternFill patternType="solid">
          <fgColor indexed="64"/>
          <bgColor theme="0" tint="-4.9989318521683403E-2"/>
        </patternFill>
      </fill>
    </dxf>
    <dxf>
      <numFmt numFmtId="2" formatCode="0.00"/>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2"/>
        </patternFill>
      </fill>
    </dxf>
    <dxf>
      <fill>
        <patternFill>
          <bgColor theme="4" tint="0.7999816888943144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7999816888943144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outline="0">
        <top style="thin">
          <color auto="1"/>
        </top>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POPULATION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cleaning!$C$1</c:f>
              <c:strCache>
                <c:ptCount val="1"/>
              </c:strCache>
            </c:strRef>
          </c:tx>
          <c:spPr>
            <a:ln w="28575" cap="rnd">
              <a:solidFill>
                <a:schemeClr val="accent2"/>
              </a:solidFill>
              <a:round/>
            </a:ln>
            <a:effectLst/>
          </c:spPr>
          <c:marker>
            <c:symbol val="none"/>
          </c:marker>
          <c:cat>
            <c:strRef>
              <c:f>cleaning!$A$2:$A$112</c:f>
              <c:strCache>
                <c:ptCount val="111"/>
                <c:pt idx="0">
                  <c:v>County</c:v>
                </c:pt>
                <c:pt idx="1">
                  <c:v>Nairobi</c:v>
                </c:pt>
                <c:pt idx="2">
                  <c:v>Nairobi</c:v>
                </c:pt>
                <c:pt idx="3">
                  <c:v>Nairobi</c:v>
                </c:pt>
                <c:pt idx="4">
                  <c:v>Nairobi</c:v>
                </c:pt>
                <c:pt idx="5">
                  <c:v>Nairobi</c:v>
                </c:pt>
                <c:pt idx="6">
                  <c:v>Nairobi</c:v>
                </c:pt>
                <c:pt idx="7">
                  <c:v>Nairobi</c:v>
                </c:pt>
                <c:pt idx="8">
                  <c:v>Nairobi</c:v>
                </c:pt>
                <c:pt idx="9">
                  <c:v>Nairobi</c:v>
                </c:pt>
                <c:pt idx="10">
                  <c:v>Nairobi</c:v>
                </c:pt>
                <c:pt idx="11">
                  <c:v>Nairobi</c:v>
                </c:pt>
                <c:pt idx="12">
                  <c:v>Kiambu</c:v>
                </c:pt>
                <c:pt idx="13">
                  <c:v>Kiambu</c:v>
                </c:pt>
                <c:pt idx="14">
                  <c:v>Kiambu</c:v>
                </c:pt>
                <c:pt idx="15">
                  <c:v>Kiambu</c:v>
                </c:pt>
                <c:pt idx="16">
                  <c:v>Kiambu</c:v>
                </c:pt>
                <c:pt idx="17">
                  <c:v>Kiambu</c:v>
                </c:pt>
                <c:pt idx="18">
                  <c:v>Kiambu</c:v>
                </c:pt>
                <c:pt idx="19">
                  <c:v>Kiambu</c:v>
                </c:pt>
                <c:pt idx="20">
                  <c:v>Kiambu</c:v>
                </c:pt>
                <c:pt idx="21">
                  <c:v>Kiambu</c:v>
                </c:pt>
                <c:pt idx="22">
                  <c:v>Kiambu</c:v>
                </c:pt>
                <c:pt idx="23">
                  <c:v>Mombasa</c:v>
                </c:pt>
                <c:pt idx="24">
                  <c:v>Mombasa</c:v>
                </c:pt>
                <c:pt idx="25">
                  <c:v>Mombasa</c:v>
                </c:pt>
                <c:pt idx="26">
                  <c:v>Mombasa</c:v>
                </c:pt>
                <c:pt idx="27">
                  <c:v>Mombasa</c:v>
                </c:pt>
                <c:pt idx="28">
                  <c:v>Mombasa</c:v>
                </c:pt>
                <c:pt idx="29">
                  <c:v>Mombasa</c:v>
                </c:pt>
                <c:pt idx="30">
                  <c:v>Mombasa</c:v>
                </c:pt>
                <c:pt idx="31">
                  <c:v>Mombasa</c:v>
                </c:pt>
                <c:pt idx="32">
                  <c:v>Mombasa</c:v>
                </c:pt>
                <c:pt idx="33">
                  <c:v>Mombasa</c:v>
                </c:pt>
                <c:pt idx="34">
                  <c:v>Kisumu</c:v>
                </c:pt>
                <c:pt idx="35">
                  <c:v>Kisumu</c:v>
                </c:pt>
                <c:pt idx="36">
                  <c:v>Kisumu</c:v>
                </c:pt>
                <c:pt idx="37">
                  <c:v>Kisumu</c:v>
                </c:pt>
                <c:pt idx="38">
                  <c:v>Kisumu</c:v>
                </c:pt>
                <c:pt idx="39">
                  <c:v>Kisumu</c:v>
                </c:pt>
                <c:pt idx="40">
                  <c:v>Kisumu</c:v>
                </c:pt>
                <c:pt idx="41">
                  <c:v>Kisumu</c:v>
                </c:pt>
                <c:pt idx="42">
                  <c:v>Kisumu</c:v>
                </c:pt>
                <c:pt idx="43">
                  <c:v>Kisumu</c:v>
                </c:pt>
                <c:pt idx="44">
                  <c:v>Kisumu</c:v>
                </c:pt>
                <c:pt idx="45">
                  <c:v>Nakuru</c:v>
                </c:pt>
                <c:pt idx="46">
                  <c:v>Nakuru</c:v>
                </c:pt>
                <c:pt idx="47">
                  <c:v>Nakuru</c:v>
                </c:pt>
                <c:pt idx="48">
                  <c:v>Nakuru</c:v>
                </c:pt>
                <c:pt idx="49">
                  <c:v>Nakuru</c:v>
                </c:pt>
                <c:pt idx="50">
                  <c:v>Nakuru</c:v>
                </c:pt>
                <c:pt idx="51">
                  <c:v>Nakuru</c:v>
                </c:pt>
                <c:pt idx="52">
                  <c:v>Nakuru</c:v>
                </c:pt>
                <c:pt idx="53">
                  <c:v>Nakuru</c:v>
                </c:pt>
                <c:pt idx="54">
                  <c:v>Nakuru</c:v>
                </c:pt>
                <c:pt idx="55">
                  <c:v>Nakuru</c:v>
                </c:pt>
                <c:pt idx="56">
                  <c:v>Machakos</c:v>
                </c:pt>
                <c:pt idx="57">
                  <c:v>Machakos</c:v>
                </c:pt>
                <c:pt idx="58">
                  <c:v>Machakos</c:v>
                </c:pt>
                <c:pt idx="59">
                  <c:v>Machakos</c:v>
                </c:pt>
                <c:pt idx="60">
                  <c:v>Machakos</c:v>
                </c:pt>
                <c:pt idx="61">
                  <c:v>Machakos</c:v>
                </c:pt>
                <c:pt idx="62">
                  <c:v>Machakos</c:v>
                </c:pt>
                <c:pt idx="63">
                  <c:v>Machakos</c:v>
                </c:pt>
                <c:pt idx="64">
                  <c:v>Machakos</c:v>
                </c:pt>
                <c:pt idx="65">
                  <c:v>Machakos</c:v>
                </c:pt>
                <c:pt idx="66">
                  <c:v>Machakos</c:v>
                </c:pt>
                <c:pt idx="67">
                  <c:v>Kakamega</c:v>
                </c:pt>
                <c:pt idx="68">
                  <c:v>Kakamega</c:v>
                </c:pt>
                <c:pt idx="69">
                  <c:v>Kakamega</c:v>
                </c:pt>
                <c:pt idx="70">
                  <c:v>Kakamega</c:v>
                </c:pt>
                <c:pt idx="71">
                  <c:v>Kakamega</c:v>
                </c:pt>
                <c:pt idx="72">
                  <c:v>Kakamega</c:v>
                </c:pt>
                <c:pt idx="73">
                  <c:v>Kakamega</c:v>
                </c:pt>
                <c:pt idx="74">
                  <c:v>Kakamega</c:v>
                </c:pt>
                <c:pt idx="75">
                  <c:v>Kakamega</c:v>
                </c:pt>
                <c:pt idx="76">
                  <c:v>Kakamega</c:v>
                </c:pt>
                <c:pt idx="77">
                  <c:v>Kakamega</c:v>
                </c:pt>
                <c:pt idx="78">
                  <c:v>Uasin Gishu</c:v>
                </c:pt>
                <c:pt idx="79">
                  <c:v>Uasin Gishu</c:v>
                </c:pt>
                <c:pt idx="80">
                  <c:v>Uasin Gishu</c:v>
                </c:pt>
                <c:pt idx="81">
                  <c:v>Uasin Gishu</c:v>
                </c:pt>
                <c:pt idx="82">
                  <c:v>Uasin Gishu</c:v>
                </c:pt>
                <c:pt idx="83">
                  <c:v>Uasin Gishu</c:v>
                </c:pt>
                <c:pt idx="84">
                  <c:v>Uasin Gishu</c:v>
                </c:pt>
                <c:pt idx="85">
                  <c:v>Uasin Gishu</c:v>
                </c:pt>
                <c:pt idx="86">
                  <c:v>Uasin Gishu</c:v>
                </c:pt>
                <c:pt idx="87">
                  <c:v>Uasin Gishu</c:v>
                </c:pt>
                <c:pt idx="88">
                  <c:v>Uasin Gishu</c:v>
                </c:pt>
                <c:pt idx="89">
                  <c:v>Meru</c:v>
                </c:pt>
                <c:pt idx="90">
                  <c:v>Meru</c:v>
                </c:pt>
                <c:pt idx="91">
                  <c:v>Meru</c:v>
                </c:pt>
                <c:pt idx="92">
                  <c:v>Meru</c:v>
                </c:pt>
                <c:pt idx="93">
                  <c:v>Meru</c:v>
                </c:pt>
                <c:pt idx="94">
                  <c:v>Meru</c:v>
                </c:pt>
                <c:pt idx="95">
                  <c:v>Meru</c:v>
                </c:pt>
                <c:pt idx="96">
                  <c:v>Meru</c:v>
                </c:pt>
                <c:pt idx="97">
                  <c:v>Meru</c:v>
                </c:pt>
                <c:pt idx="98">
                  <c:v>Meru</c:v>
                </c:pt>
                <c:pt idx="99">
                  <c:v>Meru</c:v>
                </c:pt>
                <c:pt idx="100">
                  <c:v>Nyeri</c:v>
                </c:pt>
                <c:pt idx="101">
                  <c:v>Nyeri</c:v>
                </c:pt>
                <c:pt idx="102">
                  <c:v>Nyeri</c:v>
                </c:pt>
                <c:pt idx="103">
                  <c:v>Nyeri</c:v>
                </c:pt>
                <c:pt idx="104">
                  <c:v>Nyeri</c:v>
                </c:pt>
                <c:pt idx="105">
                  <c:v>Nyeri</c:v>
                </c:pt>
                <c:pt idx="106">
                  <c:v>Nyeri</c:v>
                </c:pt>
                <c:pt idx="107">
                  <c:v>Nyeri</c:v>
                </c:pt>
                <c:pt idx="108">
                  <c:v>Nyeri</c:v>
                </c:pt>
                <c:pt idx="109">
                  <c:v>Nyeri</c:v>
                </c:pt>
                <c:pt idx="110">
                  <c:v>Nyeri</c:v>
                </c:pt>
              </c:strCache>
            </c:strRef>
          </c:cat>
          <c:val>
            <c:numRef>
              <c:f>cleaning!$C$2:$C$112</c:f>
              <c:numCache>
                <c:formatCode>General</c:formatCode>
                <c:ptCount val="111"/>
                <c:pt idx="0">
                  <c:v>0</c:v>
                </c:pt>
                <c:pt idx="1">
                  <c:v>773343</c:v>
                </c:pt>
                <c:pt idx="2">
                  <c:v>802240</c:v>
                </c:pt>
                <c:pt idx="3">
                  <c:v>828192</c:v>
                </c:pt>
                <c:pt idx="4">
                  <c:v>875658</c:v>
                </c:pt>
                <c:pt idx="5">
                  <c:v>836082</c:v>
                </c:pt>
                <c:pt idx="6">
                  <c:v>881527</c:v>
                </c:pt>
                <c:pt idx="7">
                  <c:v>912689</c:v>
                </c:pt>
                <c:pt idx="8">
                  <c:v>1040422</c:v>
                </c:pt>
                <c:pt idx="9">
                  <c:v>887765</c:v>
                </c:pt>
                <c:pt idx="10">
                  <c:v>1004442</c:v>
                </c:pt>
                <c:pt idx="11">
                  <c:v>942459</c:v>
                </c:pt>
                <c:pt idx="12">
                  <c:v>4309085</c:v>
                </c:pt>
                <c:pt idx="13">
                  <c:v>4393581</c:v>
                </c:pt>
                <c:pt idx="14">
                  <c:v>4517418</c:v>
                </c:pt>
                <c:pt idx="15">
                  <c:v>4620944</c:v>
                </c:pt>
                <c:pt idx="16">
                  <c:v>5130569</c:v>
                </c:pt>
                <c:pt idx="17">
                  <c:v>5035931</c:v>
                </c:pt>
                <c:pt idx="18">
                  <c:v>4881122</c:v>
                </c:pt>
                <c:pt idx="19">
                  <c:v>5514031</c:v>
                </c:pt>
                <c:pt idx="20">
                  <c:v>5570505</c:v>
                </c:pt>
                <c:pt idx="21">
                  <c:v>5764756</c:v>
                </c:pt>
                <c:pt idx="22">
                  <c:v>5255630</c:v>
                </c:pt>
                <c:pt idx="23">
                  <c:v>634621</c:v>
                </c:pt>
                <c:pt idx="24">
                  <c:v>645094</c:v>
                </c:pt>
                <c:pt idx="25">
                  <c:v>660166</c:v>
                </c:pt>
                <c:pt idx="26">
                  <c:v>706054</c:v>
                </c:pt>
                <c:pt idx="27">
                  <c:v>705016</c:v>
                </c:pt>
                <c:pt idx="28">
                  <c:v>720841</c:v>
                </c:pt>
                <c:pt idx="29">
                  <c:v>717074</c:v>
                </c:pt>
                <c:pt idx="30">
                  <c:v>857282</c:v>
                </c:pt>
                <c:pt idx="31">
                  <c:v>783903</c:v>
                </c:pt>
                <c:pt idx="32">
                  <c:v>744967</c:v>
                </c:pt>
                <c:pt idx="33">
                  <c:v>757870</c:v>
                </c:pt>
                <c:pt idx="34">
                  <c:v>4956406</c:v>
                </c:pt>
                <c:pt idx="35">
                  <c:v>5056192</c:v>
                </c:pt>
                <c:pt idx="36">
                  <c:v>5338478</c:v>
                </c:pt>
                <c:pt idx="37">
                  <c:v>5384815</c:v>
                </c:pt>
                <c:pt idx="38">
                  <c:v>5513019</c:v>
                </c:pt>
                <c:pt idx="39">
                  <c:v>5401748</c:v>
                </c:pt>
                <c:pt idx="40">
                  <c:v>6380550</c:v>
                </c:pt>
                <c:pt idx="41">
                  <c:v>5858454</c:v>
                </c:pt>
                <c:pt idx="42">
                  <c:v>6894880</c:v>
                </c:pt>
                <c:pt idx="43">
                  <c:v>5904734</c:v>
                </c:pt>
                <c:pt idx="44">
                  <c:v>7381924</c:v>
                </c:pt>
                <c:pt idx="45">
                  <c:v>4878022</c:v>
                </c:pt>
                <c:pt idx="46">
                  <c:v>5073283</c:v>
                </c:pt>
                <c:pt idx="47">
                  <c:v>5214426</c:v>
                </c:pt>
                <c:pt idx="48">
                  <c:v>5417498</c:v>
                </c:pt>
                <c:pt idx="49">
                  <c:v>5221223</c:v>
                </c:pt>
                <c:pt idx="50">
                  <c:v>5519542</c:v>
                </c:pt>
                <c:pt idx="51">
                  <c:v>5915174</c:v>
                </c:pt>
                <c:pt idx="52">
                  <c:v>6366813</c:v>
                </c:pt>
                <c:pt idx="53">
                  <c:v>6848854</c:v>
                </c:pt>
                <c:pt idx="54">
                  <c:v>6231838</c:v>
                </c:pt>
                <c:pt idx="55">
                  <c:v>6745298</c:v>
                </c:pt>
                <c:pt idx="56">
                  <c:v>727385</c:v>
                </c:pt>
                <c:pt idx="57">
                  <c:v>743652</c:v>
                </c:pt>
                <c:pt idx="58">
                  <c:v>755623</c:v>
                </c:pt>
                <c:pt idx="59">
                  <c:v>820433</c:v>
                </c:pt>
                <c:pt idx="60">
                  <c:v>778415</c:v>
                </c:pt>
                <c:pt idx="61">
                  <c:v>802481</c:v>
                </c:pt>
                <c:pt idx="62">
                  <c:v>802941</c:v>
                </c:pt>
                <c:pt idx="63">
                  <c:v>836881</c:v>
                </c:pt>
                <c:pt idx="64">
                  <c:v>995776</c:v>
                </c:pt>
                <c:pt idx="65">
                  <c:v>1000416</c:v>
                </c:pt>
                <c:pt idx="66">
                  <c:v>1097836</c:v>
                </c:pt>
                <c:pt idx="67">
                  <c:v>3649697</c:v>
                </c:pt>
                <c:pt idx="68">
                  <c:v>3735795</c:v>
                </c:pt>
                <c:pt idx="69">
                  <c:v>3929516</c:v>
                </c:pt>
                <c:pt idx="70">
                  <c:v>3874823</c:v>
                </c:pt>
                <c:pt idx="71">
                  <c:v>4340384</c:v>
                </c:pt>
                <c:pt idx="72">
                  <c:v>4209152</c:v>
                </c:pt>
                <c:pt idx="73">
                  <c:v>4455350</c:v>
                </c:pt>
                <c:pt idx="74">
                  <c:v>4894670</c:v>
                </c:pt>
                <c:pt idx="75">
                  <c:v>4661908</c:v>
                </c:pt>
                <c:pt idx="76">
                  <c:v>5381662</c:v>
                </c:pt>
                <c:pt idx="77">
                  <c:v>5156368</c:v>
                </c:pt>
                <c:pt idx="78">
                  <c:v>4589973</c:v>
                </c:pt>
                <c:pt idx="79">
                  <c:v>4705662</c:v>
                </c:pt>
                <c:pt idx="80">
                  <c:v>4809361</c:v>
                </c:pt>
                <c:pt idx="81">
                  <c:v>4880124</c:v>
                </c:pt>
                <c:pt idx="82">
                  <c:v>5164668</c:v>
                </c:pt>
                <c:pt idx="83">
                  <c:v>5602648</c:v>
                </c:pt>
                <c:pt idx="84">
                  <c:v>5948804</c:v>
                </c:pt>
                <c:pt idx="85">
                  <c:v>5741515</c:v>
                </c:pt>
                <c:pt idx="86">
                  <c:v>5244119</c:v>
                </c:pt>
                <c:pt idx="87">
                  <c:v>6597293</c:v>
                </c:pt>
                <c:pt idx="88">
                  <c:v>6551347</c:v>
                </c:pt>
                <c:pt idx="89">
                  <c:v>1929776</c:v>
                </c:pt>
                <c:pt idx="90">
                  <c:v>1988523</c:v>
                </c:pt>
                <c:pt idx="91">
                  <c:v>2032585</c:v>
                </c:pt>
                <c:pt idx="92">
                  <c:v>2046338</c:v>
                </c:pt>
                <c:pt idx="93">
                  <c:v>2075757</c:v>
                </c:pt>
                <c:pt idx="94">
                  <c:v>2251682</c:v>
                </c:pt>
                <c:pt idx="95">
                  <c:v>2113015</c:v>
                </c:pt>
                <c:pt idx="96">
                  <c:v>2469704</c:v>
                </c:pt>
                <c:pt idx="97">
                  <c:v>2207461</c:v>
                </c:pt>
                <c:pt idx="98">
                  <c:v>2584336</c:v>
                </c:pt>
                <c:pt idx="99">
                  <c:v>2993430</c:v>
                </c:pt>
                <c:pt idx="100">
                  <c:v>2728087</c:v>
                </c:pt>
                <c:pt idx="101">
                  <c:v>2779371</c:v>
                </c:pt>
                <c:pt idx="102">
                  <c:v>2917412</c:v>
                </c:pt>
                <c:pt idx="103">
                  <c:v>2889373</c:v>
                </c:pt>
                <c:pt idx="104">
                  <c:v>3151293</c:v>
                </c:pt>
                <c:pt idx="105">
                  <c:v>3377112</c:v>
                </c:pt>
                <c:pt idx="106">
                  <c:v>3117827</c:v>
                </c:pt>
                <c:pt idx="107">
                  <c:v>3404184</c:v>
                </c:pt>
                <c:pt idx="108">
                  <c:v>3616073</c:v>
                </c:pt>
                <c:pt idx="109">
                  <c:v>3758814</c:v>
                </c:pt>
                <c:pt idx="110">
                  <c:v>3982715</c:v>
                </c:pt>
              </c:numCache>
            </c:numRef>
          </c:val>
          <c:smooth val="0"/>
          <c:extLst>
            <c:ext xmlns:c16="http://schemas.microsoft.com/office/drawing/2014/chart" uri="{C3380CC4-5D6E-409C-BE32-E72D297353CC}">
              <c16:uniqueId val="{00000000-E41A-4129-A955-5DF01F4C80A6}"/>
            </c:ext>
          </c:extLst>
        </c:ser>
        <c:dLbls>
          <c:showLegendKey val="0"/>
          <c:showVal val="0"/>
          <c:showCatName val="0"/>
          <c:showSerName val="0"/>
          <c:showPercent val="0"/>
          <c:showBubbleSize val="0"/>
        </c:dLbls>
        <c:smooth val="0"/>
        <c:axId val="549634863"/>
        <c:axId val="549635343"/>
      </c:lineChart>
      <c:catAx>
        <c:axId val="549634863"/>
        <c:scaling>
          <c:orientation val="minMax"/>
        </c:scaling>
        <c:delete val="0"/>
        <c:axPos val="b"/>
        <c:title>
          <c:tx>
            <c:rich>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US" b="0">
                    <a:solidFill>
                      <a:srgbClr val="FF0000"/>
                    </a:solidFill>
                  </a:rPr>
                  <a:t>COUNTY</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635343"/>
        <c:crosses val="autoZero"/>
        <c:auto val="1"/>
        <c:lblAlgn val="ctr"/>
        <c:lblOffset val="100"/>
        <c:noMultiLvlLbl val="0"/>
      </c:catAx>
      <c:valAx>
        <c:axId val="549635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US">
                    <a:solidFill>
                      <a:srgbClr val="FF0000"/>
                    </a:solidFill>
                  </a:rPr>
                  <a:t>POPULATION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6348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EDUCATION vs UNEMPLOYMENT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lotArea>
      <c:layout/>
      <c:scatterChart>
        <c:scatterStyle val="smoothMarker"/>
        <c:varyColors val="0"/>
        <c:ser>
          <c:idx val="0"/>
          <c:order val="0"/>
          <c:tx>
            <c:strRef>
              <c:f>cleaning!$F$1</c:f>
              <c:strCache>
                <c:ptCount val="1"/>
                <c:pt idx="0">
                  <c:v>223502.30</c:v>
                </c:pt>
              </c:strCache>
            </c:strRef>
          </c:tx>
          <c:spPr>
            <a:ln w="19050" cap="rnd">
              <a:solidFill>
                <a:schemeClr val="accent2"/>
              </a:solidFill>
              <a:round/>
            </a:ln>
            <a:effectLst/>
          </c:spPr>
          <c:marker>
            <c:symbol val="none"/>
          </c:marker>
          <c:xVal>
            <c:strRef>
              <c:f>cleaning!$D$2:$D$112</c:f>
              <c:strCache>
                <c:ptCount val="111"/>
                <c:pt idx="0">
                  <c:v>Secondary_Education_%</c:v>
                </c:pt>
                <c:pt idx="1">
                  <c:v>69.10</c:v>
                </c:pt>
                <c:pt idx="2">
                  <c:v>70.60</c:v>
                </c:pt>
                <c:pt idx="3">
                  <c:v>68.30</c:v>
                </c:pt>
                <c:pt idx="6">
                  <c:v>76.50</c:v>
                </c:pt>
                <c:pt idx="7">
                  <c:v>71.10</c:v>
                </c:pt>
                <c:pt idx="8">
                  <c:v>68.70</c:v>
                </c:pt>
                <c:pt idx="9">
                  <c:v>71.50</c:v>
                </c:pt>
                <c:pt idx="10">
                  <c:v>72.00</c:v>
                </c:pt>
                <c:pt idx="12">
                  <c:v>75.40</c:v>
                </c:pt>
                <c:pt idx="13">
                  <c:v>73.40</c:v>
                </c:pt>
                <c:pt idx="14">
                  <c:v>79.50</c:v>
                </c:pt>
                <c:pt idx="15">
                  <c:v>77.70</c:v>
                </c:pt>
                <c:pt idx="16">
                  <c:v>77.80</c:v>
                </c:pt>
                <c:pt idx="17">
                  <c:v>73.70</c:v>
                </c:pt>
                <c:pt idx="18">
                  <c:v>78.70</c:v>
                </c:pt>
                <c:pt idx="19">
                  <c:v>76.10</c:v>
                </c:pt>
                <c:pt idx="20">
                  <c:v>71.80</c:v>
                </c:pt>
                <c:pt idx="21">
                  <c:v>78.30</c:v>
                </c:pt>
                <c:pt idx="22">
                  <c:v>72.00</c:v>
                </c:pt>
                <c:pt idx="23">
                  <c:v>73.90</c:v>
                </c:pt>
                <c:pt idx="24">
                  <c:v>70.70</c:v>
                </c:pt>
                <c:pt idx="25">
                  <c:v>72.20</c:v>
                </c:pt>
                <c:pt idx="26">
                  <c:v>71.10</c:v>
                </c:pt>
                <c:pt idx="27">
                  <c:v>66.00</c:v>
                </c:pt>
                <c:pt idx="28">
                  <c:v>68.80</c:v>
                </c:pt>
                <c:pt idx="29">
                  <c:v>74.50</c:v>
                </c:pt>
                <c:pt idx="30">
                  <c:v>74.40</c:v>
                </c:pt>
                <c:pt idx="31">
                  <c:v>65.90</c:v>
                </c:pt>
                <c:pt idx="32">
                  <c:v>73.30</c:v>
                </c:pt>
                <c:pt idx="34">
                  <c:v>41.30</c:v>
                </c:pt>
                <c:pt idx="35">
                  <c:v>43.10</c:v>
                </c:pt>
                <c:pt idx="36">
                  <c:v>42.30</c:v>
                </c:pt>
                <c:pt idx="37">
                  <c:v>47.60</c:v>
                </c:pt>
                <c:pt idx="38">
                  <c:v>45.60</c:v>
                </c:pt>
                <c:pt idx="39">
                  <c:v>46.20</c:v>
                </c:pt>
                <c:pt idx="40">
                  <c:v>46.20</c:v>
                </c:pt>
                <c:pt idx="41">
                  <c:v>47.90</c:v>
                </c:pt>
                <c:pt idx="42">
                  <c:v>42.40</c:v>
                </c:pt>
                <c:pt idx="43">
                  <c:v>45.90</c:v>
                </c:pt>
                <c:pt idx="44">
                  <c:v>44.80</c:v>
                </c:pt>
                <c:pt idx="45">
                  <c:v>52.20</c:v>
                </c:pt>
                <c:pt idx="46">
                  <c:v>52.20</c:v>
                </c:pt>
                <c:pt idx="47">
                  <c:v>48.40</c:v>
                </c:pt>
                <c:pt idx="48">
                  <c:v>51.20</c:v>
                </c:pt>
                <c:pt idx="49">
                  <c:v>47.00</c:v>
                </c:pt>
                <c:pt idx="50">
                  <c:v>48.90</c:v>
                </c:pt>
                <c:pt idx="51">
                  <c:v>47.10</c:v>
                </c:pt>
                <c:pt idx="52">
                  <c:v>51.20</c:v>
                </c:pt>
                <c:pt idx="53">
                  <c:v>50.50</c:v>
                </c:pt>
                <c:pt idx="54">
                  <c:v>48.60</c:v>
                </c:pt>
                <c:pt idx="55">
                  <c:v>43.20</c:v>
                </c:pt>
                <c:pt idx="57">
                  <c:v>74.20</c:v>
                </c:pt>
                <c:pt idx="58">
                  <c:v>80.90</c:v>
                </c:pt>
                <c:pt idx="59">
                  <c:v>77.30</c:v>
                </c:pt>
                <c:pt idx="60">
                  <c:v>79.80</c:v>
                </c:pt>
                <c:pt idx="61">
                  <c:v>78.80</c:v>
                </c:pt>
                <c:pt idx="62">
                  <c:v>82.40</c:v>
                </c:pt>
                <c:pt idx="63">
                  <c:v>78.50</c:v>
                </c:pt>
                <c:pt idx="64">
                  <c:v>78.80</c:v>
                </c:pt>
                <c:pt idx="65">
                  <c:v>75.90</c:v>
                </c:pt>
                <c:pt idx="66">
                  <c:v>82.70</c:v>
                </c:pt>
                <c:pt idx="67">
                  <c:v>69.20</c:v>
                </c:pt>
                <c:pt idx="68">
                  <c:v>68.70</c:v>
                </c:pt>
                <c:pt idx="69">
                  <c:v>69.50</c:v>
                </c:pt>
                <c:pt idx="70">
                  <c:v>68.40</c:v>
                </c:pt>
                <c:pt idx="71">
                  <c:v>65.30</c:v>
                </c:pt>
                <c:pt idx="72">
                  <c:v>68.30</c:v>
                </c:pt>
                <c:pt idx="73">
                  <c:v>68.10</c:v>
                </c:pt>
                <c:pt idx="75">
                  <c:v>70.50</c:v>
                </c:pt>
                <c:pt idx="76">
                  <c:v>68.50</c:v>
                </c:pt>
                <c:pt idx="77">
                  <c:v>65.50</c:v>
                </c:pt>
                <c:pt idx="78">
                  <c:v>45.80</c:v>
                </c:pt>
                <c:pt idx="79">
                  <c:v>40.90</c:v>
                </c:pt>
                <c:pt idx="80">
                  <c:v>41.60</c:v>
                </c:pt>
                <c:pt idx="81">
                  <c:v>40.50</c:v>
                </c:pt>
                <c:pt idx="82">
                  <c:v>49.90</c:v>
                </c:pt>
                <c:pt idx="84">
                  <c:v>47.70</c:v>
                </c:pt>
                <c:pt idx="85">
                  <c:v>48.70</c:v>
                </c:pt>
                <c:pt idx="86">
                  <c:v>44.50</c:v>
                </c:pt>
                <c:pt idx="87">
                  <c:v>47.90</c:v>
                </c:pt>
                <c:pt idx="88">
                  <c:v>42.90</c:v>
                </c:pt>
                <c:pt idx="90">
                  <c:v>54.10</c:v>
                </c:pt>
                <c:pt idx="91">
                  <c:v>53.40</c:v>
                </c:pt>
                <c:pt idx="92">
                  <c:v>57.10</c:v>
                </c:pt>
                <c:pt idx="93">
                  <c:v>55.50</c:v>
                </c:pt>
                <c:pt idx="94">
                  <c:v>56.80</c:v>
                </c:pt>
                <c:pt idx="95">
                  <c:v>56.60</c:v>
                </c:pt>
                <c:pt idx="96">
                  <c:v>49.00</c:v>
                </c:pt>
                <c:pt idx="97">
                  <c:v>51.80</c:v>
                </c:pt>
                <c:pt idx="98">
                  <c:v>57.30</c:v>
                </c:pt>
                <c:pt idx="99">
                  <c:v>53.40</c:v>
                </c:pt>
                <c:pt idx="100">
                  <c:v>47.00</c:v>
                </c:pt>
                <c:pt idx="101">
                  <c:v>53.60</c:v>
                </c:pt>
                <c:pt idx="102">
                  <c:v>49.10</c:v>
                </c:pt>
                <c:pt idx="103">
                  <c:v>51.30</c:v>
                </c:pt>
                <c:pt idx="104">
                  <c:v>53.10</c:v>
                </c:pt>
                <c:pt idx="105">
                  <c:v>46.20</c:v>
                </c:pt>
                <c:pt idx="106">
                  <c:v>50.00</c:v>
                </c:pt>
                <c:pt idx="107">
                  <c:v>50.80</c:v>
                </c:pt>
                <c:pt idx="108">
                  <c:v>48.80</c:v>
                </c:pt>
                <c:pt idx="109">
                  <c:v>53.50</c:v>
                </c:pt>
                <c:pt idx="110">
                  <c:v>49.20</c:v>
                </c:pt>
              </c:strCache>
            </c:strRef>
          </c:xVal>
          <c:yVal>
            <c:numRef>
              <c:f>cleaning!$F$2:$F$112</c:f>
              <c:numCache>
                <c:formatCode>0.00</c:formatCode>
                <c:ptCount val="111"/>
                <c:pt idx="0">
                  <c:v>0</c:v>
                </c:pt>
                <c:pt idx="1">
                  <c:v>15.8</c:v>
                </c:pt>
                <c:pt idx="2">
                  <c:v>11</c:v>
                </c:pt>
                <c:pt idx="3">
                  <c:v>15.2</c:v>
                </c:pt>
                <c:pt idx="4">
                  <c:v>15.3</c:v>
                </c:pt>
                <c:pt idx="5">
                  <c:v>11</c:v>
                </c:pt>
                <c:pt idx="6">
                  <c:v>17</c:v>
                </c:pt>
                <c:pt idx="7">
                  <c:v>8.9</c:v>
                </c:pt>
                <c:pt idx="8">
                  <c:v>8.1</c:v>
                </c:pt>
                <c:pt idx="9">
                  <c:v>13</c:v>
                </c:pt>
                <c:pt idx="10">
                  <c:v>8</c:v>
                </c:pt>
                <c:pt idx="11">
                  <c:v>17.600000000000001</c:v>
                </c:pt>
                <c:pt idx="12">
                  <c:v>12</c:v>
                </c:pt>
                <c:pt idx="13">
                  <c:v>13.4</c:v>
                </c:pt>
                <c:pt idx="14">
                  <c:v>9</c:v>
                </c:pt>
                <c:pt idx="15">
                  <c:v>7.7</c:v>
                </c:pt>
                <c:pt idx="16">
                  <c:v>9.6999999999999993</c:v>
                </c:pt>
                <c:pt idx="17">
                  <c:v>10.4</c:v>
                </c:pt>
                <c:pt idx="18">
                  <c:v>15.6</c:v>
                </c:pt>
                <c:pt idx="19">
                  <c:v>12.1</c:v>
                </c:pt>
                <c:pt idx="20">
                  <c:v>12.5</c:v>
                </c:pt>
                <c:pt idx="21">
                  <c:v>9.6999999999999993</c:v>
                </c:pt>
                <c:pt idx="22">
                  <c:v>15.5</c:v>
                </c:pt>
                <c:pt idx="23">
                  <c:v>8.3000000000000007</c:v>
                </c:pt>
                <c:pt idx="24">
                  <c:v>16.3</c:v>
                </c:pt>
                <c:pt idx="25">
                  <c:v>12.4</c:v>
                </c:pt>
                <c:pt idx="26">
                  <c:v>14.7</c:v>
                </c:pt>
                <c:pt idx="27">
                  <c:v>13.7</c:v>
                </c:pt>
                <c:pt idx="28">
                  <c:v>6.6</c:v>
                </c:pt>
                <c:pt idx="29">
                  <c:v>6.5</c:v>
                </c:pt>
                <c:pt idx="30">
                  <c:v>9.9</c:v>
                </c:pt>
                <c:pt idx="31">
                  <c:v>17.5</c:v>
                </c:pt>
                <c:pt idx="32">
                  <c:v>12.3</c:v>
                </c:pt>
                <c:pt idx="33">
                  <c:v>11.7</c:v>
                </c:pt>
                <c:pt idx="34">
                  <c:v>13.8</c:v>
                </c:pt>
                <c:pt idx="35">
                  <c:v>9.5</c:v>
                </c:pt>
                <c:pt idx="36">
                  <c:v>7.5</c:v>
                </c:pt>
                <c:pt idx="37">
                  <c:v>13.5</c:v>
                </c:pt>
                <c:pt idx="38">
                  <c:v>17.399999999999999</c:v>
                </c:pt>
                <c:pt idx="39">
                  <c:v>7.7</c:v>
                </c:pt>
                <c:pt idx="40">
                  <c:v>16.5</c:v>
                </c:pt>
                <c:pt idx="41">
                  <c:v>11</c:v>
                </c:pt>
                <c:pt idx="42">
                  <c:v>10.8</c:v>
                </c:pt>
                <c:pt idx="43">
                  <c:v>10.7</c:v>
                </c:pt>
                <c:pt idx="44">
                  <c:v>16.7</c:v>
                </c:pt>
                <c:pt idx="45">
                  <c:v>7</c:v>
                </c:pt>
                <c:pt idx="46">
                  <c:v>14.7</c:v>
                </c:pt>
                <c:pt idx="47">
                  <c:v>12.5</c:v>
                </c:pt>
                <c:pt idx="48">
                  <c:v>10.6</c:v>
                </c:pt>
                <c:pt idx="49">
                  <c:v>7.1</c:v>
                </c:pt>
                <c:pt idx="50">
                  <c:v>7.9</c:v>
                </c:pt>
                <c:pt idx="51">
                  <c:v>9.4</c:v>
                </c:pt>
                <c:pt idx="52">
                  <c:v>12.4</c:v>
                </c:pt>
                <c:pt idx="53">
                  <c:v>16.2</c:v>
                </c:pt>
                <c:pt idx="54">
                  <c:v>7.9</c:v>
                </c:pt>
                <c:pt idx="55">
                  <c:v>12.5</c:v>
                </c:pt>
                <c:pt idx="56">
                  <c:v>6.7</c:v>
                </c:pt>
                <c:pt idx="57">
                  <c:v>14.2</c:v>
                </c:pt>
                <c:pt idx="58">
                  <c:v>16.8</c:v>
                </c:pt>
                <c:pt idx="59">
                  <c:v>15.8</c:v>
                </c:pt>
                <c:pt idx="60">
                  <c:v>12.6</c:v>
                </c:pt>
                <c:pt idx="61">
                  <c:v>10.7</c:v>
                </c:pt>
                <c:pt idx="62">
                  <c:v>9.1</c:v>
                </c:pt>
                <c:pt idx="63">
                  <c:v>16.7</c:v>
                </c:pt>
                <c:pt idx="64">
                  <c:v>14.5</c:v>
                </c:pt>
                <c:pt idx="65">
                  <c:v>6.9</c:v>
                </c:pt>
                <c:pt idx="66">
                  <c:v>9.9</c:v>
                </c:pt>
                <c:pt idx="67">
                  <c:v>12.2</c:v>
                </c:pt>
                <c:pt idx="68">
                  <c:v>7.6</c:v>
                </c:pt>
                <c:pt idx="69">
                  <c:v>7.4</c:v>
                </c:pt>
                <c:pt idx="70">
                  <c:v>13.9</c:v>
                </c:pt>
                <c:pt idx="71">
                  <c:v>16.7</c:v>
                </c:pt>
                <c:pt idx="72">
                  <c:v>6.8</c:v>
                </c:pt>
                <c:pt idx="73">
                  <c:v>11.1</c:v>
                </c:pt>
                <c:pt idx="74">
                  <c:v>9.1999999999999993</c:v>
                </c:pt>
                <c:pt idx="75">
                  <c:v>6.7</c:v>
                </c:pt>
                <c:pt idx="76">
                  <c:v>6.8</c:v>
                </c:pt>
                <c:pt idx="77">
                  <c:v>12</c:v>
                </c:pt>
                <c:pt idx="78">
                  <c:v>13.8</c:v>
                </c:pt>
                <c:pt idx="79">
                  <c:v>16.3</c:v>
                </c:pt>
                <c:pt idx="80">
                  <c:v>12.9</c:v>
                </c:pt>
                <c:pt idx="81">
                  <c:v>15.3</c:v>
                </c:pt>
                <c:pt idx="82">
                  <c:v>15</c:v>
                </c:pt>
                <c:pt idx="83">
                  <c:v>17.7</c:v>
                </c:pt>
                <c:pt idx="84">
                  <c:v>10.9</c:v>
                </c:pt>
                <c:pt idx="85">
                  <c:v>16</c:v>
                </c:pt>
                <c:pt idx="86">
                  <c:v>14.4</c:v>
                </c:pt>
                <c:pt idx="87">
                  <c:v>17.600000000000001</c:v>
                </c:pt>
                <c:pt idx="88">
                  <c:v>16.600000000000001</c:v>
                </c:pt>
                <c:pt idx="89">
                  <c:v>16.600000000000001</c:v>
                </c:pt>
                <c:pt idx="90">
                  <c:v>13.3</c:v>
                </c:pt>
                <c:pt idx="91">
                  <c:v>10.3</c:v>
                </c:pt>
                <c:pt idx="92">
                  <c:v>7.1</c:v>
                </c:pt>
                <c:pt idx="93">
                  <c:v>10.4</c:v>
                </c:pt>
                <c:pt idx="94">
                  <c:v>10.6</c:v>
                </c:pt>
                <c:pt idx="95">
                  <c:v>7.5</c:v>
                </c:pt>
                <c:pt idx="96">
                  <c:v>7.7</c:v>
                </c:pt>
                <c:pt idx="97">
                  <c:v>14.4</c:v>
                </c:pt>
                <c:pt idx="98">
                  <c:v>17.5</c:v>
                </c:pt>
                <c:pt idx="99">
                  <c:v>16.2</c:v>
                </c:pt>
                <c:pt idx="100">
                  <c:v>8.8000000000000007</c:v>
                </c:pt>
                <c:pt idx="101">
                  <c:v>7.7</c:v>
                </c:pt>
                <c:pt idx="102">
                  <c:v>10.9</c:v>
                </c:pt>
                <c:pt idx="103">
                  <c:v>9.3000000000000007</c:v>
                </c:pt>
                <c:pt idx="104">
                  <c:v>11.1</c:v>
                </c:pt>
                <c:pt idx="105">
                  <c:v>7.9</c:v>
                </c:pt>
                <c:pt idx="106">
                  <c:v>10.1</c:v>
                </c:pt>
                <c:pt idx="107">
                  <c:v>10.3</c:v>
                </c:pt>
                <c:pt idx="108">
                  <c:v>8</c:v>
                </c:pt>
                <c:pt idx="109">
                  <c:v>12.5</c:v>
                </c:pt>
                <c:pt idx="110">
                  <c:v>11.6</c:v>
                </c:pt>
              </c:numCache>
            </c:numRef>
          </c:yVal>
          <c:smooth val="1"/>
          <c:extLst>
            <c:ext xmlns:c16="http://schemas.microsoft.com/office/drawing/2014/chart" uri="{C3380CC4-5D6E-409C-BE32-E72D297353CC}">
              <c16:uniqueId val="{00000000-6320-49E4-BDB6-9C3F76E38819}"/>
            </c:ext>
          </c:extLst>
        </c:ser>
        <c:dLbls>
          <c:showLegendKey val="0"/>
          <c:showVal val="0"/>
          <c:showCatName val="0"/>
          <c:showSerName val="0"/>
          <c:showPercent val="0"/>
          <c:showBubbleSize val="0"/>
        </c:dLbls>
        <c:axId val="657370079"/>
        <c:axId val="657371039"/>
      </c:scatterChart>
      <c:valAx>
        <c:axId val="65737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US" b="0">
                    <a:solidFill>
                      <a:srgbClr val="FF0000"/>
                    </a:solidFill>
                  </a:rPr>
                  <a:t>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371039"/>
        <c:crosses val="autoZero"/>
        <c:crossBetween val="midCat"/>
      </c:valAx>
      <c:valAx>
        <c:axId val="657371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US" b="0">
                    <a:solidFill>
                      <a:srgbClr val="FF0000"/>
                    </a:solidFill>
                  </a:rPr>
                  <a:t>UNEMPLOYMENT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3700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RAINFALL BAR CHART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lotArea>
      <c:layout/>
      <c:barChart>
        <c:barDir val="col"/>
        <c:grouping val="clustered"/>
        <c:varyColors val="0"/>
        <c:ser>
          <c:idx val="0"/>
          <c:order val="0"/>
          <c:tx>
            <c:strRef>
              <c:f>cleaning!$B$1</c:f>
              <c:strCache>
                <c:ptCount val="1"/>
              </c:strCache>
            </c:strRef>
          </c:tx>
          <c:spPr>
            <a:solidFill>
              <a:schemeClr val="accent1"/>
            </a:solidFill>
            <a:ln>
              <a:noFill/>
            </a:ln>
            <a:effectLst/>
          </c:spPr>
          <c:invertIfNegative val="0"/>
          <c:cat>
            <c:strRef>
              <c:f>cleaning!$A$2:$A$112</c:f>
              <c:strCache>
                <c:ptCount val="111"/>
                <c:pt idx="0">
                  <c:v>County</c:v>
                </c:pt>
                <c:pt idx="1">
                  <c:v>Nairobi</c:v>
                </c:pt>
                <c:pt idx="2">
                  <c:v>Nairobi</c:v>
                </c:pt>
                <c:pt idx="3">
                  <c:v>Nairobi</c:v>
                </c:pt>
                <c:pt idx="4">
                  <c:v>Nairobi</c:v>
                </c:pt>
                <c:pt idx="5">
                  <c:v>Nairobi</c:v>
                </c:pt>
                <c:pt idx="6">
                  <c:v>Nairobi</c:v>
                </c:pt>
                <c:pt idx="7">
                  <c:v>Nairobi</c:v>
                </c:pt>
                <c:pt idx="8">
                  <c:v>Nairobi</c:v>
                </c:pt>
                <c:pt idx="9">
                  <c:v>Nairobi</c:v>
                </c:pt>
                <c:pt idx="10">
                  <c:v>Nairobi</c:v>
                </c:pt>
                <c:pt idx="11">
                  <c:v>Nairobi</c:v>
                </c:pt>
                <c:pt idx="12">
                  <c:v>Kiambu</c:v>
                </c:pt>
                <c:pt idx="13">
                  <c:v>Kiambu</c:v>
                </c:pt>
                <c:pt idx="14">
                  <c:v>Kiambu</c:v>
                </c:pt>
                <c:pt idx="15">
                  <c:v>Kiambu</c:v>
                </c:pt>
                <c:pt idx="16">
                  <c:v>Kiambu</c:v>
                </c:pt>
                <c:pt idx="17">
                  <c:v>Kiambu</c:v>
                </c:pt>
                <c:pt idx="18">
                  <c:v>Kiambu</c:v>
                </c:pt>
                <c:pt idx="19">
                  <c:v>Kiambu</c:v>
                </c:pt>
                <c:pt idx="20">
                  <c:v>Kiambu</c:v>
                </c:pt>
                <c:pt idx="21">
                  <c:v>Kiambu</c:v>
                </c:pt>
                <c:pt idx="22">
                  <c:v>Kiambu</c:v>
                </c:pt>
                <c:pt idx="23">
                  <c:v>Mombasa</c:v>
                </c:pt>
                <c:pt idx="24">
                  <c:v>Mombasa</c:v>
                </c:pt>
                <c:pt idx="25">
                  <c:v>Mombasa</c:v>
                </c:pt>
                <c:pt idx="26">
                  <c:v>Mombasa</c:v>
                </c:pt>
                <c:pt idx="27">
                  <c:v>Mombasa</c:v>
                </c:pt>
                <c:pt idx="28">
                  <c:v>Mombasa</c:v>
                </c:pt>
                <c:pt idx="29">
                  <c:v>Mombasa</c:v>
                </c:pt>
                <c:pt idx="30">
                  <c:v>Mombasa</c:v>
                </c:pt>
                <c:pt idx="31">
                  <c:v>Mombasa</c:v>
                </c:pt>
                <c:pt idx="32">
                  <c:v>Mombasa</c:v>
                </c:pt>
                <c:pt idx="33">
                  <c:v>Mombasa</c:v>
                </c:pt>
                <c:pt idx="34">
                  <c:v>Kisumu</c:v>
                </c:pt>
                <c:pt idx="35">
                  <c:v>Kisumu</c:v>
                </c:pt>
                <c:pt idx="36">
                  <c:v>Kisumu</c:v>
                </c:pt>
                <c:pt idx="37">
                  <c:v>Kisumu</c:v>
                </c:pt>
                <c:pt idx="38">
                  <c:v>Kisumu</c:v>
                </c:pt>
                <c:pt idx="39">
                  <c:v>Kisumu</c:v>
                </c:pt>
                <c:pt idx="40">
                  <c:v>Kisumu</c:v>
                </c:pt>
                <c:pt idx="41">
                  <c:v>Kisumu</c:v>
                </c:pt>
                <c:pt idx="42">
                  <c:v>Kisumu</c:v>
                </c:pt>
                <c:pt idx="43">
                  <c:v>Kisumu</c:v>
                </c:pt>
                <c:pt idx="44">
                  <c:v>Kisumu</c:v>
                </c:pt>
                <c:pt idx="45">
                  <c:v>Nakuru</c:v>
                </c:pt>
                <c:pt idx="46">
                  <c:v>Nakuru</c:v>
                </c:pt>
                <c:pt idx="47">
                  <c:v>Nakuru</c:v>
                </c:pt>
                <c:pt idx="48">
                  <c:v>Nakuru</c:v>
                </c:pt>
                <c:pt idx="49">
                  <c:v>Nakuru</c:v>
                </c:pt>
                <c:pt idx="50">
                  <c:v>Nakuru</c:v>
                </c:pt>
                <c:pt idx="51">
                  <c:v>Nakuru</c:v>
                </c:pt>
                <c:pt idx="52">
                  <c:v>Nakuru</c:v>
                </c:pt>
                <c:pt idx="53">
                  <c:v>Nakuru</c:v>
                </c:pt>
                <c:pt idx="54">
                  <c:v>Nakuru</c:v>
                </c:pt>
                <c:pt idx="55">
                  <c:v>Nakuru</c:v>
                </c:pt>
                <c:pt idx="56">
                  <c:v>Machakos</c:v>
                </c:pt>
                <c:pt idx="57">
                  <c:v>Machakos</c:v>
                </c:pt>
                <c:pt idx="58">
                  <c:v>Machakos</c:v>
                </c:pt>
                <c:pt idx="59">
                  <c:v>Machakos</c:v>
                </c:pt>
                <c:pt idx="60">
                  <c:v>Machakos</c:v>
                </c:pt>
                <c:pt idx="61">
                  <c:v>Machakos</c:v>
                </c:pt>
                <c:pt idx="62">
                  <c:v>Machakos</c:v>
                </c:pt>
                <c:pt idx="63">
                  <c:v>Machakos</c:v>
                </c:pt>
                <c:pt idx="64">
                  <c:v>Machakos</c:v>
                </c:pt>
                <c:pt idx="65">
                  <c:v>Machakos</c:v>
                </c:pt>
                <c:pt idx="66">
                  <c:v>Machakos</c:v>
                </c:pt>
                <c:pt idx="67">
                  <c:v>Kakamega</c:v>
                </c:pt>
                <c:pt idx="68">
                  <c:v>Kakamega</c:v>
                </c:pt>
                <c:pt idx="69">
                  <c:v>Kakamega</c:v>
                </c:pt>
                <c:pt idx="70">
                  <c:v>Kakamega</c:v>
                </c:pt>
                <c:pt idx="71">
                  <c:v>Kakamega</c:v>
                </c:pt>
                <c:pt idx="72">
                  <c:v>Kakamega</c:v>
                </c:pt>
                <c:pt idx="73">
                  <c:v>Kakamega</c:v>
                </c:pt>
                <c:pt idx="74">
                  <c:v>Kakamega</c:v>
                </c:pt>
                <c:pt idx="75">
                  <c:v>Kakamega</c:v>
                </c:pt>
                <c:pt idx="76">
                  <c:v>Kakamega</c:v>
                </c:pt>
                <c:pt idx="77">
                  <c:v>Kakamega</c:v>
                </c:pt>
                <c:pt idx="78">
                  <c:v>Uasin Gishu</c:v>
                </c:pt>
                <c:pt idx="79">
                  <c:v>Uasin Gishu</c:v>
                </c:pt>
                <c:pt idx="80">
                  <c:v>Uasin Gishu</c:v>
                </c:pt>
                <c:pt idx="81">
                  <c:v>Uasin Gishu</c:v>
                </c:pt>
                <c:pt idx="82">
                  <c:v>Uasin Gishu</c:v>
                </c:pt>
                <c:pt idx="83">
                  <c:v>Uasin Gishu</c:v>
                </c:pt>
                <c:pt idx="84">
                  <c:v>Uasin Gishu</c:v>
                </c:pt>
                <c:pt idx="85">
                  <c:v>Uasin Gishu</c:v>
                </c:pt>
                <c:pt idx="86">
                  <c:v>Uasin Gishu</c:v>
                </c:pt>
                <c:pt idx="87">
                  <c:v>Uasin Gishu</c:v>
                </c:pt>
                <c:pt idx="88">
                  <c:v>Uasin Gishu</c:v>
                </c:pt>
                <c:pt idx="89">
                  <c:v>Meru</c:v>
                </c:pt>
                <c:pt idx="90">
                  <c:v>Meru</c:v>
                </c:pt>
                <c:pt idx="91">
                  <c:v>Meru</c:v>
                </c:pt>
                <c:pt idx="92">
                  <c:v>Meru</c:v>
                </c:pt>
                <c:pt idx="93">
                  <c:v>Meru</c:v>
                </c:pt>
                <c:pt idx="94">
                  <c:v>Meru</c:v>
                </c:pt>
                <c:pt idx="95">
                  <c:v>Meru</c:v>
                </c:pt>
                <c:pt idx="96">
                  <c:v>Meru</c:v>
                </c:pt>
                <c:pt idx="97">
                  <c:v>Meru</c:v>
                </c:pt>
                <c:pt idx="98">
                  <c:v>Meru</c:v>
                </c:pt>
                <c:pt idx="99">
                  <c:v>Meru</c:v>
                </c:pt>
                <c:pt idx="100">
                  <c:v>Nyeri</c:v>
                </c:pt>
                <c:pt idx="101">
                  <c:v>Nyeri</c:v>
                </c:pt>
                <c:pt idx="102">
                  <c:v>Nyeri</c:v>
                </c:pt>
                <c:pt idx="103">
                  <c:v>Nyeri</c:v>
                </c:pt>
                <c:pt idx="104">
                  <c:v>Nyeri</c:v>
                </c:pt>
                <c:pt idx="105">
                  <c:v>Nyeri</c:v>
                </c:pt>
                <c:pt idx="106">
                  <c:v>Nyeri</c:v>
                </c:pt>
                <c:pt idx="107">
                  <c:v>Nyeri</c:v>
                </c:pt>
                <c:pt idx="108">
                  <c:v>Nyeri</c:v>
                </c:pt>
                <c:pt idx="109">
                  <c:v>Nyeri</c:v>
                </c:pt>
                <c:pt idx="110">
                  <c:v>Nyeri</c:v>
                </c:pt>
              </c:strCache>
            </c:strRef>
          </c:cat>
          <c:val>
            <c:numRef>
              <c:f>cleaning!$B$2:$B$112</c:f>
              <c:numCache>
                <c:formatCode>General</c:formatCode>
                <c:ptCount val="111"/>
                <c:pt idx="0">
                  <c:v>0</c:v>
                </c:pt>
                <c:pt idx="1">
                  <c:v>2015</c:v>
                </c:pt>
                <c:pt idx="2">
                  <c:v>2016</c:v>
                </c:pt>
                <c:pt idx="3">
                  <c:v>2017</c:v>
                </c:pt>
                <c:pt idx="4">
                  <c:v>2018</c:v>
                </c:pt>
                <c:pt idx="5">
                  <c:v>2019</c:v>
                </c:pt>
                <c:pt idx="6">
                  <c:v>2020</c:v>
                </c:pt>
                <c:pt idx="7">
                  <c:v>2021</c:v>
                </c:pt>
                <c:pt idx="8">
                  <c:v>2022</c:v>
                </c:pt>
                <c:pt idx="9">
                  <c:v>2023</c:v>
                </c:pt>
                <c:pt idx="10">
                  <c:v>2024</c:v>
                </c:pt>
                <c:pt idx="11">
                  <c:v>2025</c:v>
                </c:pt>
                <c:pt idx="12">
                  <c:v>2015</c:v>
                </c:pt>
                <c:pt idx="13">
                  <c:v>2016</c:v>
                </c:pt>
                <c:pt idx="14">
                  <c:v>2017</c:v>
                </c:pt>
                <c:pt idx="15">
                  <c:v>2018</c:v>
                </c:pt>
                <c:pt idx="16">
                  <c:v>2019</c:v>
                </c:pt>
                <c:pt idx="17">
                  <c:v>2020</c:v>
                </c:pt>
                <c:pt idx="18">
                  <c:v>2021</c:v>
                </c:pt>
                <c:pt idx="19">
                  <c:v>2022</c:v>
                </c:pt>
                <c:pt idx="20">
                  <c:v>2023</c:v>
                </c:pt>
                <c:pt idx="21">
                  <c:v>2024</c:v>
                </c:pt>
                <c:pt idx="22">
                  <c:v>2025</c:v>
                </c:pt>
                <c:pt idx="23">
                  <c:v>2015</c:v>
                </c:pt>
                <c:pt idx="24">
                  <c:v>2016</c:v>
                </c:pt>
                <c:pt idx="25">
                  <c:v>2017</c:v>
                </c:pt>
                <c:pt idx="26">
                  <c:v>2018</c:v>
                </c:pt>
                <c:pt idx="27">
                  <c:v>2019</c:v>
                </c:pt>
                <c:pt idx="28">
                  <c:v>2020</c:v>
                </c:pt>
                <c:pt idx="29">
                  <c:v>2021</c:v>
                </c:pt>
                <c:pt idx="30">
                  <c:v>2022</c:v>
                </c:pt>
                <c:pt idx="31">
                  <c:v>2023</c:v>
                </c:pt>
                <c:pt idx="32">
                  <c:v>2024</c:v>
                </c:pt>
                <c:pt idx="33">
                  <c:v>2025</c:v>
                </c:pt>
                <c:pt idx="34">
                  <c:v>2015</c:v>
                </c:pt>
                <c:pt idx="35">
                  <c:v>2016</c:v>
                </c:pt>
                <c:pt idx="36">
                  <c:v>2017</c:v>
                </c:pt>
                <c:pt idx="37">
                  <c:v>2018</c:v>
                </c:pt>
                <c:pt idx="38">
                  <c:v>2019</c:v>
                </c:pt>
                <c:pt idx="39">
                  <c:v>2020</c:v>
                </c:pt>
                <c:pt idx="40">
                  <c:v>2021</c:v>
                </c:pt>
                <c:pt idx="41">
                  <c:v>2022</c:v>
                </c:pt>
                <c:pt idx="42">
                  <c:v>2023</c:v>
                </c:pt>
                <c:pt idx="43">
                  <c:v>2024</c:v>
                </c:pt>
                <c:pt idx="44">
                  <c:v>2025</c:v>
                </c:pt>
                <c:pt idx="45">
                  <c:v>2015</c:v>
                </c:pt>
                <c:pt idx="46">
                  <c:v>2016</c:v>
                </c:pt>
                <c:pt idx="47">
                  <c:v>2017</c:v>
                </c:pt>
                <c:pt idx="48">
                  <c:v>2018</c:v>
                </c:pt>
                <c:pt idx="49">
                  <c:v>2019</c:v>
                </c:pt>
                <c:pt idx="50">
                  <c:v>2020</c:v>
                </c:pt>
                <c:pt idx="51">
                  <c:v>2021</c:v>
                </c:pt>
                <c:pt idx="52">
                  <c:v>2022</c:v>
                </c:pt>
                <c:pt idx="53">
                  <c:v>2023</c:v>
                </c:pt>
                <c:pt idx="54">
                  <c:v>2024</c:v>
                </c:pt>
                <c:pt idx="55">
                  <c:v>2025</c:v>
                </c:pt>
                <c:pt idx="56">
                  <c:v>2015</c:v>
                </c:pt>
                <c:pt idx="57">
                  <c:v>2016</c:v>
                </c:pt>
                <c:pt idx="58">
                  <c:v>2017</c:v>
                </c:pt>
                <c:pt idx="59">
                  <c:v>2018</c:v>
                </c:pt>
                <c:pt idx="60">
                  <c:v>2019</c:v>
                </c:pt>
                <c:pt idx="61">
                  <c:v>2020</c:v>
                </c:pt>
                <c:pt idx="62">
                  <c:v>2021</c:v>
                </c:pt>
                <c:pt idx="63">
                  <c:v>2022</c:v>
                </c:pt>
                <c:pt idx="64">
                  <c:v>2023</c:v>
                </c:pt>
                <c:pt idx="65">
                  <c:v>2024</c:v>
                </c:pt>
                <c:pt idx="66">
                  <c:v>2025</c:v>
                </c:pt>
                <c:pt idx="67">
                  <c:v>2015</c:v>
                </c:pt>
                <c:pt idx="68">
                  <c:v>2016</c:v>
                </c:pt>
                <c:pt idx="69">
                  <c:v>2017</c:v>
                </c:pt>
                <c:pt idx="70">
                  <c:v>2018</c:v>
                </c:pt>
                <c:pt idx="71">
                  <c:v>2019</c:v>
                </c:pt>
                <c:pt idx="72">
                  <c:v>2020</c:v>
                </c:pt>
                <c:pt idx="73">
                  <c:v>2021</c:v>
                </c:pt>
                <c:pt idx="74">
                  <c:v>2022</c:v>
                </c:pt>
                <c:pt idx="75">
                  <c:v>2023</c:v>
                </c:pt>
                <c:pt idx="76">
                  <c:v>2024</c:v>
                </c:pt>
                <c:pt idx="77">
                  <c:v>2025</c:v>
                </c:pt>
                <c:pt idx="78">
                  <c:v>2015</c:v>
                </c:pt>
                <c:pt idx="79">
                  <c:v>2016</c:v>
                </c:pt>
                <c:pt idx="80">
                  <c:v>2017</c:v>
                </c:pt>
                <c:pt idx="81">
                  <c:v>2018</c:v>
                </c:pt>
                <c:pt idx="82">
                  <c:v>2019</c:v>
                </c:pt>
                <c:pt idx="83">
                  <c:v>2020</c:v>
                </c:pt>
                <c:pt idx="84">
                  <c:v>2021</c:v>
                </c:pt>
                <c:pt idx="85">
                  <c:v>2022</c:v>
                </c:pt>
                <c:pt idx="86">
                  <c:v>2023</c:v>
                </c:pt>
                <c:pt idx="87">
                  <c:v>2024</c:v>
                </c:pt>
                <c:pt idx="88">
                  <c:v>2025</c:v>
                </c:pt>
                <c:pt idx="89">
                  <c:v>2015</c:v>
                </c:pt>
                <c:pt idx="90">
                  <c:v>2016</c:v>
                </c:pt>
                <c:pt idx="91">
                  <c:v>2017</c:v>
                </c:pt>
                <c:pt idx="92">
                  <c:v>2018</c:v>
                </c:pt>
                <c:pt idx="93">
                  <c:v>2019</c:v>
                </c:pt>
                <c:pt idx="94">
                  <c:v>2020</c:v>
                </c:pt>
                <c:pt idx="95">
                  <c:v>2021</c:v>
                </c:pt>
                <c:pt idx="96">
                  <c:v>2022</c:v>
                </c:pt>
                <c:pt idx="97">
                  <c:v>2023</c:v>
                </c:pt>
                <c:pt idx="98">
                  <c:v>2024</c:v>
                </c:pt>
                <c:pt idx="99">
                  <c:v>2025</c:v>
                </c:pt>
                <c:pt idx="100">
                  <c:v>2015</c:v>
                </c:pt>
                <c:pt idx="101">
                  <c:v>2016</c:v>
                </c:pt>
                <c:pt idx="102">
                  <c:v>2017</c:v>
                </c:pt>
                <c:pt idx="103">
                  <c:v>2018</c:v>
                </c:pt>
                <c:pt idx="104">
                  <c:v>2019</c:v>
                </c:pt>
                <c:pt idx="105">
                  <c:v>2020</c:v>
                </c:pt>
                <c:pt idx="106">
                  <c:v>2021</c:v>
                </c:pt>
                <c:pt idx="107">
                  <c:v>2022</c:v>
                </c:pt>
                <c:pt idx="108">
                  <c:v>2023</c:v>
                </c:pt>
                <c:pt idx="109">
                  <c:v>2024</c:v>
                </c:pt>
                <c:pt idx="110">
                  <c:v>2025</c:v>
                </c:pt>
              </c:numCache>
            </c:numRef>
          </c:val>
          <c:extLst>
            <c:ext xmlns:c16="http://schemas.microsoft.com/office/drawing/2014/chart" uri="{C3380CC4-5D6E-409C-BE32-E72D297353CC}">
              <c16:uniqueId val="{00000000-379B-4FEB-8D98-D2D15F0C02B8}"/>
            </c:ext>
          </c:extLst>
        </c:ser>
        <c:ser>
          <c:idx val="1"/>
          <c:order val="1"/>
          <c:tx>
            <c:strRef>
              <c:f>cleaning!$H$1</c:f>
              <c:strCache>
                <c:ptCount val="1"/>
                <c:pt idx="0">
                  <c:v>107334</c:v>
                </c:pt>
              </c:strCache>
            </c:strRef>
          </c:tx>
          <c:spPr>
            <a:solidFill>
              <a:schemeClr val="accent2"/>
            </a:solidFill>
            <a:ln>
              <a:noFill/>
            </a:ln>
            <a:effectLst/>
          </c:spPr>
          <c:invertIfNegative val="0"/>
          <c:cat>
            <c:strRef>
              <c:f>cleaning!$A$2:$A$112</c:f>
              <c:strCache>
                <c:ptCount val="111"/>
                <c:pt idx="0">
                  <c:v>County</c:v>
                </c:pt>
                <c:pt idx="1">
                  <c:v>Nairobi</c:v>
                </c:pt>
                <c:pt idx="2">
                  <c:v>Nairobi</c:v>
                </c:pt>
                <c:pt idx="3">
                  <c:v>Nairobi</c:v>
                </c:pt>
                <c:pt idx="4">
                  <c:v>Nairobi</c:v>
                </c:pt>
                <c:pt idx="5">
                  <c:v>Nairobi</c:v>
                </c:pt>
                <c:pt idx="6">
                  <c:v>Nairobi</c:v>
                </c:pt>
                <c:pt idx="7">
                  <c:v>Nairobi</c:v>
                </c:pt>
                <c:pt idx="8">
                  <c:v>Nairobi</c:v>
                </c:pt>
                <c:pt idx="9">
                  <c:v>Nairobi</c:v>
                </c:pt>
                <c:pt idx="10">
                  <c:v>Nairobi</c:v>
                </c:pt>
                <c:pt idx="11">
                  <c:v>Nairobi</c:v>
                </c:pt>
                <c:pt idx="12">
                  <c:v>Kiambu</c:v>
                </c:pt>
                <c:pt idx="13">
                  <c:v>Kiambu</c:v>
                </c:pt>
                <c:pt idx="14">
                  <c:v>Kiambu</c:v>
                </c:pt>
                <c:pt idx="15">
                  <c:v>Kiambu</c:v>
                </c:pt>
                <c:pt idx="16">
                  <c:v>Kiambu</c:v>
                </c:pt>
                <c:pt idx="17">
                  <c:v>Kiambu</c:v>
                </c:pt>
                <c:pt idx="18">
                  <c:v>Kiambu</c:v>
                </c:pt>
                <c:pt idx="19">
                  <c:v>Kiambu</c:v>
                </c:pt>
                <c:pt idx="20">
                  <c:v>Kiambu</c:v>
                </c:pt>
                <c:pt idx="21">
                  <c:v>Kiambu</c:v>
                </c:pt>
                <c:pt idx="22">
                  <c:v>Kiambu</c:v>
                </c:pt>
                <c:pt idx="23">
                  <c:v>Mombasa</c:v>
                </c:pt>
                <c:pt idx="24">
                  <c:v>Mombasa</c:v>
                </c:pt>
                <c:pt idx="25">
                  <c:v>Mombasa</c:v>
                </c:pt>
                <c:pt idx="26">
                  <c:v>Mombasa</c:v>
                </c:pt>
                <c:pt idx="27">
                  <c:v>Mombasa</c:v>
                </c:pt>
                <c:pt idx="28">
                  <c:v>Mombasa</c:v>
                </c:pt>
                <c:pt idx="29">
                  <c:v>Mombasa</c:v>
                </c:pt>
                <c:pt idx="30">
                  <c:v>Mombasa</c:v>
                </c:pt>
                <c:pt idx="31">
                  <c:v>Mombasa</c:v>
                </c:pt>
                <c:pt idx="32">
                  <c:v>Mombasa</c:v>
                </c:pt>
                <c:pt idx="33">
                  <c:v>Mombasa</c:v>
                </c:pt>
                <c:pt idx="34">
                  <c:v>Kisumu</c:v>
                </c:pt>
                <c:pt idx="35">
                  <c:v>Kisumu</c:v>
                </c:pt>
                <c:pt idx="36">
                  <c:v>Kisumu</c:v>
                </c:pt>
                <c:pt idx="37">
                  <c:v>Kisumu</c:v>
                </c:pt>
                <c:pt idx="38">
                  <c:v>Kisumu</c:v>
                </c:pt>
                <c:pt idx="39">
                  <c:v>Kisumu</c:v>
                </c:pt>
                <c:pt idx="40">
                  <c:v>Kisumu</c:v>
                </c:pt>
                <c:pt idx="41">
                  <c:v>Kisumu</c:v>
                </c:pt>
                <c:pt idx="42">
                  <c:v>Kisumu</c:v>
                </c:pt>
                <c:pt idx="43">
                  <c:v>Kisumu</c:v>
                </c:pt>
                <c:pt idx="44">
                  <c:v>Kisumu</c:v>
                </c:pt>
                <c:pt idx="45">
                  <c:v>Nakuru</c:v>
                </c:pt>
                <c:pt idx="46">
                  <c:v>Nakuru</c:v>
                </c:pt>
                <c:pt idx="47">
                  <c:v>Nakuru</c:v>
                </c:pt>
                <c:pt idx="48">
                  <c:v>Nakuru</c:v>
                </c:pt>
                <c:pt idx="49">
                  <c:v>Nakuru</c:v>
                </c:pt>
                <c:pt idx="50">
                  <c:v>Nakuru</c:v>
                </c:pt>
                <c:pt idx="51">
                  <c:v>Nakuru</c:v>
                </c:pt>
                <c:pt idx="52">
                  <c:v>Nakuru</c:v>
                </c:pt>
                <c:pt idx="53">
                  <c:v>Nakuru</c:v>
                </c:pt>
                <c:pt idx="54">
                  <c:v>Nakuru</c:v>
                </c:pt>
                <c:pt idx="55">
                  <c:v>Nakuru</c:v>
                </c:pt>
                <c:pt idx="56">
                  <c:v>Machakos</c:v>
                </c:pt>
                <c:pt idx="57">
                  <c:v>Machakos</c:v>
                </c:pt>
                <c:pt idx="58">
                  <c:v>Machakos</c:v>
                </c:pt>
                <c:pt idx="59">
                  <c:v>Machakos</c:v>
                </c:pt>
                <c:pt idx="60">
                  <c:v>Machakos</c:v>
                </c:pt>
                <c:pt idx="61">
                  <c:v>Machakos</c:v>
                </c:pt>
                <c:pt idx="62">
                  <c:v>Machakos</c:v>
                </c:pt>
                <c:pt idx="63">
                  <c:v>Machakos</c:v>
                </c:pt>
                <c:pt idx="64">
                  <c:v>Machakos</c:v>
                </c:pt>
                <c:pt idx="65">
                  <c:v>Machakos</c:v>
                </c:pt>
                <c:pt idx="66">
                  <c:v>Machakos</c:v>
                </c:pt>
                <c:pt idx="67">
                  <c:v>Kakamega</c:v>
                </c:pt>
                <c:pt idx="68">
                  <c:v>Kakamega</c:v>
                </c:pt>
                <c:pt idx="69">
                  <c:v>Kakamega</c:v>
                </c:pt>
                <c:pt idx="70">
                  <c:v>Kakamega</c:v>
                </c:pt>
                <c:pt idx="71">
                  <c:v>Kakamega</c:v>
                </c:pt>
                <c:pt idx="72">
                  <c:v>Kakamega</c:v>
                </c:pt>
                <c:pt idx="73">
                  <c:v>Kakamega</c:v>
                </c:pt>
                <c:pt idx="74">
                  <c:v>Kakamega</c:v>
                </c:pt>
                <c:pt idx="75">
                  <c:v>Kakamega</c:v>
                </c:pt>
                <c:pt idx="76">
                  <c:v>Kakamega</c:v>
                </c:pt>
                <c:pt idx="77">
                  <c:v>Kakamega</c:v>
                </c:pt>
                <c:pt idx="78">
                  <c:v>Uasin Gishu</c:v>
                </c:pt>
                <c:pt idx="79">
                  <c:v>Uasin Gishu</c:v>
                </c:pt>
                <c:pt idx="80">
                  <c:v>Uasin Gishu</c:v>
                </c:pt>
                <c:pt idx="81">
                  <c:v>Uasin Gishu</c:v>
                </c:pt>
                <c:pt idx="82">
                  <c:v>Uasin Gishu</c:v>
                </c:pt>
                <c:pt idx="83">
                  <c:v>Uasin Gishu</c:v>
                </c:pt>
                <c:pt idx="84">
                  <c:v>Uasin Gishu</c:v>
                </c:pt>
                <c:pt idx="85">
                  <c:v>Uasin Gishu</c:v>
                </c:pt>
                <c:pt idx="86">
                  <c:v>Uasin Gishu</c:v>
                </c:pt>
                <c:pt idx="87">
                  <c:v>Uasin Gishu</c:v>
                </c:pt>
                <c:pt idx="88">
                  <c:v>Uasin Gishu</c:v>
                </c:pt>
                <c:pt idx="89">
                  <c:v>Meru</c:v>
                </c:pt>
                <c:pt idx="90">
                  <c:v>Meru</c:v>
                </c:pt>
                <c:pt idx="91">
                  <c:v>Meru</c:v>
                </c:pt>
                <c:pt idx="92">
                  <c:v>Meru</c:v>
                </c:pt>
                <c:pt idx="93">
                  <c:v>Meru</c:v>
                </c:pt>
                <c:pt idx="94">
                  <c:v>Meru</c:v>
                </c:pt>
                <c:pt idx="95">
                  <c:v>Meru</c:v>
                </c:pt>
                <c:pt idx="96">
                  <c:v>Meru</c:v>
                </c:pt>
                <c:pt idx="97">
                  <c:v>Meru</c:v>
                </c:pt>
                <c:pt idx="98">
                  <c:v>Meru</c:v>
                </c:pt>
                <c:pt idx="99">
                  <c:v>Meru</c:v>
                </c:pt>
                <c:pt idx="100">
                  <c:v>Nyeri</c:v>
                </c:pt>
                <c:pt idx="101">
                  <c:v>Nyeri</c:v>
                </c:pt>
                <c:pt idx="102">
                  <c:v>Nyeri</c:v>
                </c:pt>
                <c:pt idx="103">
                  <c:v>Nyeri</c:v>
                </c:pt>
                <c:pt idx="104">
                  <c:v>Nyeri</c:v>
                </c:pt>
                <c:pt idx="105">
                  <c:v>Nyeri</c:v>
                </c:pt>
                <c:pt idx="106">
                  <c:v>Nyeri</c:v>
                </c:pt>
                <c:pt idx="107">
                  <c:v>Nyeri</c:v>
                </c:pt>
                <c:pt idx="108">
                  <c:v>Nyeri</c:v>
                </c:pt>
                <c:pt idx="109">
                  <c:v>Nyeri</c:v>
                </c:pt>
                <c:pt idx="110">
                  <c:v>Nyeri</c:v>
                </c:pt>
              </c:strCache>
            </c:strRef>
          </c:cat>
          <c:val>
            <c:numRef>
              <c:f>cleaning!$H$2:$H$112</c:f>
              <c:numCache>
                <c:formatCode>General</c:formatCode>
                <c:ptCount val="111"/>
                <c:pt idx="0">
                  <c:v>0</c:v>
                </c:pt>
                <c:pt idx="1">
                  <c:v>1270</c:v>
                </c:pt>
                <c:pt idx="2">
                  <c:v>1403</c:v>
                </c:pt>
                <c:pt idx="3">
                  <c:v>1502</c:v>
                </c:pt>
                <c:pt idx="4">
                  <c:v>1418</c:v>
                </c:pt>
                <c:pt idx="5">
                  <c:v>1606</c:v>
                </c:pt>
                <c:pt idx="6">
                  <c:v>1583</c:v>
                </c:pt>
                <c:pt idx="7">
                  <c:v>1279</c:v>
                </c:pt>
                <c:pt idx="8">
                  <c:v>1302</c:v>
                </c:pt>
                <c:pt idx="9">
                  <c:v>1532</c:v>
                </c:pt>
                <c:pt idx="10">
                  <c:v>1257</c:v>
                </c:pt>
                <c:pt idx="11">
                  <c:v>1189</c:v>
                </c:pt>
                <c:pt idx="12">
                  <c:v>888</c:v>
                </c:pt>
                <c:pt idx="14">
                  <c:v>790</c:v>
                </c:pt>
                <c:pt idx="15">
                  <c:v>583</c:v>
                </c:pt>
                <c:pt idx="16">
                  <c:v>869</c:v>
                </c:pt>
                <c:pt idx="17">
                  <c:v>592</c:v>
                </c:pt>
                <c:pt idx="18">
                  <c:v>669</c:v>
                </c:pt>
                <c:pt idx="19">
                  <c:v>659</c:v>
                </c:pt>
                <c:pt idx="20">
                  <c:v>891</c:v>
                </c:pt>
                <c:pt idx="21">
                  <c:v>522</c:v>
                </c:pt>
                <c:pt idx="22">
                  <c:v>866</c:v>
                </c:pt>
                <c:pt idx="24">
                  <c:v>699</c:v>
                </c:pt>
                <c:pt idx="25">
                  <c:v>836</c:v>
                </c:pt>
                <c:pt idx="26">
                  <c:v>1033</c:v>
                </c:pt>
                <c:pt idx="27">
                  <c:v>939</c:v>
                </c:pt>
                <c:pt idx="28">
                  <c:v>726</c:v>
                </c:pt>
                <c:pt idx="29">
                  <c:v>788</c:v>
                </c:pt>
                <c:pt idx="30">
                  <c:v>702</c:v>
                </c:pt>
                <c:pt idx="31">
                  <c:v>981</c:v>
                </c:pt>
                <c:pt idx="32">
                  <c:v>760</c:v>
                </c:pt>
                <c:pt idx="33">
                  <c:v>723</c:v>
                </c:pt>
                <c:pt idx="34">
                  <c:v>444</c:v>
                </c:pt>
                <c:pt idx="35">
                  <c:v>479</c:v>
                </c:pt>
                <c:pt idx="36">
                  <c:v>745</c:v>
                </c:pt>
                <c:pt idx="37">
                  <c:v>380</c:v>
                </c:pt>
                <c:pt idx="38">
                  <c:v>424</c:v>
                </c:pt>
                <c:pt idx="40">
                  <c:v>381</c:v>
                </c:pt>
                <c:pt idx="41">
                  <c:v>695</c:v>
                </c:pt>
                <c:pt idx="42">
                  <c:v>711</c:v>
                </c:pt>
                <c:pt idx="43">
                  <c:v>461</c:v>
                </c:pt>
                <c:pt idx="44">
                  <c:v>515</c:v>
                </c:pt>
                <c:pt idx="45">
                  <c:v>995</c:v>
                </c:pt>
                <c:pt idx="46">
                  <c:v>1165</c:v>
                </c:pt>
                <c:pt idx="47">
                  <c:v>1346</c:v>
                </c:pt>
                <c:pt idx="48">
                  <c:v>1252</c:v>
                </c:pt>
                <c:pt idx="49">
                  <c:v>1210</c:v>
                </c:pt>
                <c:pt idx="50">
                  <c:v>980</c:v>
                </c:pt>
                <c:pt idx="51">
                  <c:v>1407</c:v>
                </c:pt>
                <c:pt idx="52">
                  <c:v>1348</c:v>
                </c:pt>
                <c:pt idx="53">
                  <c:v>989</c:v>
                </c:pt>
                <c:pt idx="54">
                  <c:v>1271</c:v>
                </c:pt>
                <c:pt idx="55">
                  <c:v>1133</c:v>
                </c:pt>
                <c:pt idx="56">
                  <c:v>1440</c:v>
                </c:pt>
                <c:pt idx="58">
                  <c:v>1598</c:v>
                </c:pt>
                <c:pt idx="59">
                  <c:v>1696</c:v>
                </c:pt>
                <c:pt idx="61">
                  <c:v>1459</c:v>
                </c:pt>
                <c:pt idx="62">
                  <c:v>1693</c:v>
                </c:pt>
                <c:pt idx="63">
                  <c:v>1714</c:v>
                </c:pt>
                <c:pt idx="64">
                  <c:v>1766</c:v>
                </c:pt>
                <c:pt idx="65">
                  <c:v>1357</c:v>
                </c:pt>
                <c:pt idx="66">
                  <c:v>1654</c:v>
                </c:pt>
                <c:pt idx="67">
                  <c:v>1518</c:v>
                </c:pt>
                <c:pt idx="68">
                  <c:v>1553</c:v>
                </c:pt>
                <c:pt idx="69">
                  <c:v>1159</c:v>
                </c:pt>
                <c:pt idx="70">
                  <c:v>1177</c:v>
                </c:pt>
                <c:pt idx="71">
                  <c:v>1306</c:v>
                </c:pt>
                <c:pt idx="72">
                  <c:v>1297</c:v>
                </c:pt>
                <c:pt idx="73">
                  <c:v>1432</c:v>
                </c:pt>
                <c:pt idx="74">
                  <c:v>1475</c:v>
                </c:pt>
                <c:pt idx="75">
                  <c:v>1536</c:v>
                </c:pt>
                <c:pt idx="76">
                  <c:v>1374</c:v>
                </c:pt>
                <c:pt idx="77">
                  <c:v>1455</c:v>
                </c:pt>
                <c:pt idx="78">
                  <c:v>1384</c:v>
                </c:pt>
                <c:pt idx="79">
                  <c:v>1312</c:v>
                </c:pt>
                <c:pt idx="81">
                  <c:v>1249</c:v>
                </c:pt>
                <c:pt idx="82">
                  <c:v>1117</c:v>
                </c:pt>
                <c:pt idx="83">
                  <c:v>1400</c:v>
                </c:pt>
                <c:pt idx="84">
                  <c:v>1211</c:v>
                </c:pt>
                <c:pt idx="85">
                  <c:v>1031</c:v>
                </c:pt>
                <c:pt idx="86">
                  <c:v>1257</c:v>
                </c:pt>
                <c:pt idx="87">
                  <c:v>1028</c:v>
                </c:pt>
                <c:pt idx="89">
                  <c:v>735</c:v>
                </c:pt>
                <c:pt idx="90">
                  <c:v>488</c:v>
                </c:pt>
                <c:pt idx="91">
                  <c:v>315</c:v>
                </c:pt>
                <c:pt idx="93">
                  <c:v>732</c:v>
                </c:pt>
                <c:pt idx="94">
                  <c:v>710</c:v>
                </c:pt>
                <c:pt idx="95">
                  <c:v>467</c:v>
                </c:pt>
                <c:pt idx="96">
                  <c:v>636</c:v>
                </c:pt>
                <c:pt idx="97">
                  <c:v>475</c:v>
                </c:pt>
                <c:pt idx="98">
                  <c:v>649</c:v>
                </c:pt>
                <c:pt idx="99">
                  <c:v>612</c:v>
                </c:pt>
                <c:pt idx="100">
                  <c:v>1204</c:v>
                </c:pt>
                <c:pt idx="101">
                  <c:v>1236</c:v>
                </c:pt>
                <c:pt idx="102">
                  <c:v>916</c:v>
                </c:pt>
                <c:pt idx="103">
                  <c:v>896</c:v>
                </c:pt>
                <c:pt idx="104">
                  <c:v>1083</c:v>
                </c:pt>
                <c:pt idx="105">
                  <c:v>883</c:v>
                </c:pt>
                <c:pt idx="106">
                  <c:v>1146</c:v>
                </c:pt>
                <c:pt idx="107">
                  <c:v>1154</c:v>
                </c:pt>
                <c:pt idx="108">
                  <c:v>990</c:v>
                </c:pt>
                <c:pt idx="109">
                  <c:v>976</c:v>
                </c:pt>
                <c:pt idx="110">
                  <c:v>1195</c:v>
                </c:pt>
              </c:numCache>
            </c:numRef>
          </c:val>
          <c:extLst>
            <c:ext xmlns:c16="http://schemas.microsoft.com/office/drawing/2014/chart" uri="{C3380CC4-5D6E-409C-BE32-E72D297353CC}">
              <c16:uniqueId val="{00000001-379B-4FEB-8D98-D2D15F0C02B8}"/>
            </c:ext>
          </c:extLst>
        </c:ser>
        <c:dLbls>
          <c:showLegendKey val="0"/>
          <c:showVal val="0"/>
          <c:showCatName val="0"/>
          <c:showSerName val="0"/>
          <c:showPercent val="0"/>
          <c:showBubbleSize val="0"/>
        </c:dLbls>
        <c:gapWidth val="219"/>
        <c:overlap val="-27"/>
        <c:axId val="987439935"/>
        <c:axId val="987441855"/>
      </c:barChart>
      <c:catAx>
        <c:axId val="987439935"/>
        <c:scaling>
          <c:orientation val="minMax"/>
        </c:scaling>
        <c:delete val="0"/>
        <c:axPos val="b"/>
        <c:title>
          <c:tx>
            <c:rich>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US">
                    <a:solidFill>
                      <a:srgbClr val="FF0000"/>
                    </a:solidFill>
                  </a:rPr>
                  <a:t>COUNTY</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441855"/>
        <c:crosses val="autoZero"/>
        <c:auto val="1"/>
        <c:lblAlgn val="ctr"/>
        <c:lblOffset val="100"/>
        <c:noMultiLvlLbl val="0"/>
      </c:catAx>
      <c:valAx>
        <c:axId val="987441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US">
                    <a:solidFill>
                      <a:srgbClr val="FF0000"/>
                    </a:solidFill>
                  </a:rPr>
                  <a:t>RAINFALL(MM)</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439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12</xdr:col>
      <xdr:colOff>115971</xdr:colOff>
      <xdr:row>1</xdr:row>
      <xdr:rowOff>44227</xdr:rowOff>
    </xdr:from>
    <xdr:to>
      <xdr:col>13</xdr:col>
      <xdr:colOff>240297</xdr:colOff>
      <xdr:row>14</xdr:row>
      <xdr:rowOff>106334</xdr:rowOff>
    </xdr:to>
    <mc:AlternateContent xmlns:mc="http://schemas.openxmlformats.org/markup-compatibility/2006" xmlns:a14="http://schemas.microsoft.com/office/drawing/2010/main">
      <mc:Choice Requires="a14">
        <xdr:graphicFrame macro="">
          <xdr:nvGraphicFramePr>
            <xdr:cNvPr id="2" name="County">
              <a:extLst>
                <a:ext uri="{FF2B5EF4-FFF2-40B4-BE49-F238E27FC236}">
                  <a16:creationId xmlns:a16="http://schemas.microsoft.com/office/drawing/2014/main" id="{CC4F6F09-B30B-7327-B4E8-962B30BF5768}"/>
                </a:ext>
              </a:extLst>
            </xdr:cNvPr>
            <xdr:cNvGraphicFramePr/>
          </xdr:nvGraphicFramePr>
          <xdr:xfrm>
            <a:off x="0" y="0"/>
            <a:ext cx="0" cy="0"/>
          </xdr:xfrm>
          <a:graphic>
            <a:graphicData uri="http://schemas.microsoft.com/office/drawing/2010/slicer">
              <sle:slicer xmlns:sle="http://schemas.microsoft.com/office/drawing/2010/slicer" name="County"/>
            </a:graphicData>
          </a:graphic>
        </xdr:graphicFrame>
      </mc:Choice>
      <mc:Fallback xmlns="">
        <xdr:sp macro="" textlink="">
          <xdr:nvSpPr>
            <xdr:cNvPr id="0" name=""/>
            <xdr:cNvSpPr>
              <a:spLocks noTextEdit="1"/>
            </xdr:cNvSpPr>
          </xdr:nvSpPr>
          <xdr:spPr>
            <a:xfrm>
              <a:off x="15801585" y="34501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227375</xdr:colOff>
      <xdr:row>1</xdr:row>
      <xdr:rowOff>44227</xdr:rowOff>
    </xdr:from>
    <xdr:to>
      <xdr:col>14</xdr:col>
      <xdr:colOff>351702</xdr:colOff>
      <xdr:row>14</xdr:row>
      <xdr:rowOff>106334</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7687E231-DAA6-1B10-DB14-92A2241E58B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617463" y="34501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463883</xdr:colOff>
      <xdr:row>10</xdr:row>
      <xdr:rowOff>25065</xdr:rowOff>
    </xdr:from>
    <xdr:to>
      <xdr:col>5</xdr:col>
      <xdr:colOff>593222</xdr:colOff>
      <xdr:row>20</xdr:row>
      <xdr:rowOff>161088</xdr:rowOff>
    </xdr:to>
    <xdr:graphicFrame macro="">
      <xdr:nvGraphicFramePr>
        <xdr:cNvPr id="2" name="Chart 1">
          <a:extLst>
            <a:ext uri="{FF2B5EF4-FFF2-40B4-BE49-F238E27FC236}">
              <a16:creationId xmlns:a16="http://schemas.microsoft.com/office/drawing/2014/main" id="{38F37A98-C1B4-42DE-8C08-BC7339F04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585201</xdr:colOff>
      <xdr:row>10</xdr:row>
      <xdr:rowOff>25066</xdr:rowOff>
    </xdr:from>
    <xdr:to>
      <xdr:col>7</xdr:col>
      <xdr:colOff>1019341</xdr:colOff>
      <xdr:row>20</xdr:row>
      <xdr:rowOff>150729</xdr:rowOff>
    </xdr:to>
    <xdr:graphicFrame macro="">
      <xdr:nvGraphicFramePr>
        <xdr:cNvPr id="3" name="Chart 2">
          <a:extLst>
            <a:ext uri="{FF2B5EF4-FFF2-40B4-BE49-F238E27FC236}">
              <a16:creationId xmlns:a16="http://schemas.microsoft.com/office/drawing/2014/main" id="{4CAC85E2-081D-4DA5-9079-B57863F1C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1026026</xdr:colOff>
      <xdr:row>10</xdr:row>
      <xdr:rowOff>18717</xdr:rowOff>
    </xdr:from>
    <xdr:to>
      <xdr:col>11</xdr:col>
      <xdr:colOff>338220</xdr:colOff>
      <xdr:row>20</xdr:row>
      <xdr:rowOff>170782</xdr:rowOff>
    </xdr:to>
    <xdr:graphicFrame macro="">
      <xdr:nvGraphicFramePr>
        <xdr:cNvPr id="4" name="Chart 3">
          <a:extLst>
            <a:ext uri="{FF2B5EF4-FFF2-40B4-BE49-F238E27FC236}">
              <a16:creationId xmlns:a16="http://schemas.microsoft.com/office/drawing/2014/main" id="{0A5652B5-2F5E-428A-845B-97EEBD6FD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1386974</xdr:colOff>
      <xdr:row>4</xdr:row>
      <xdr:rowOff>41777</xdr:rowOff>
    </xdr:from>
    <xdr:to>
      <xdr:col>5</xdr:col>
      <xdr:colOff>1077829</xdr:colOff>
      <xdr:row>5</xdr:row>
      <xdr:rowOff>167105</xdr:rowOff>
    </xdr:to>
    <xdr:sp macro="" textlink="">
      <xdr:nvSpPr>
        <xdr:cNvPr id="5" name="Rectangle 4">
          <a:extLst>
            <a:ext uri="{FF2B5EF4-FFF2-40B4-BE49-F238E27FC236}">
              <a16:creationId xmlns:a16="http://schemas.microsoft.com/office/drawing/2014/main" id="{EFA6A3A4-B472-9A87-7E15-CD81D61B8DCA}"/>
            </a:ext>
          </a:extLst>
        </xdr:cNvPr>
        <xdr:cNvSpPr/>
      </xdr:nvSpPr>
      <xdr:spPr>
        <a:xfrm>
          <a:off x="3517566" y="777040"/>
          <a:ext cx="2531645" cy="309144"/>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solidFill>
                <a:srgbClr val="00B050"/>
              </a:solidFill>
            </a:rPr>
            <a:t>TOTAL POPULATION</a:t>
          </a:r>
        </a:p>
        <a:p>
          <a:pPr algn="l"/>
          <a:endParaRPr lang="en-US" sz="1100" kern="1200">
            <a:solidFill>
              <a:srgbClr val="00B050"/>
            </a:solidFill>
          </a:endParaRPr>
        </a:p>
      </xdr:txBody>
    </xdr:sp>
    <xdr:clientData/>
  </xdr:twoCellAnchor>
  <xdr:twoCellAnchor>
    <xdr:from>
      <xdr:col>5</xdr:col>
      <xdr:colOff>1094539</xdr:colOff>
      <xdr:row>4</xdr:row>
      <xdr:rowOff>50132</xdr:rowOff>
    </xdr:from>
    <xdr:to>
      <xdr:col>7</xdr:col>
      <xdr:colOff>284079</xdr:colOff>
      <xdr:row>5</xdr:row>
      <xdr:rowOff>175460</xdr:rowOff>
    </xdr:to>
    <xdr:sp macro="" textlink="">
      <xdr:nvSpPr>
        <xdr:cNvPr id="6" name="Rectangle 5">
          <a:extLst>
            <a:ext uri="{FF2B5EF4-FFF2-40B4-BE49-F238E27FC236}">
              <a16:creationId xmlns:a16="http://schemas.microsoft.com/office/drawing/2014/main" id="{8274FC49-EB1B-45A2-8FFB-9BF2A10DAAF9}"/>
            </a:ext>
          </a:extLst>
        </xdr:cNvPr>
        <xdr:cNvSpPr/>
      </xdr:nvSpPr>
      <xdr:spPr>
        <a:xfrm>
          <a:off x="6065921" y="785395"/>
          <a:ext cx="2531645" cy="309144"/>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solidFill>
                <a:srgbClr val="00B050"/>
              </a:solidFill>
            </a:rPr>
            <a:t>TOTAL</a:t>
          </a:r>
          <a:r>
            <a:rPr lang="en-US" sz="1100" kern="1200" baseline="0">
              <a:solidFill>
                <a:srgbClr val="00B050"/>
              </a:solidFill>
            </a:rPr>
            <a:t> RAINFALL</a:t>
          </a:r>
        </a:p>
        <a:p>
          <a:pPr algn="l"/>
          <a:endParaRPr lang="en-US" sz="1100" kern="1200">
            <a:solidFill>
              <a:srgbClr val="00B050"/>
            </a:solidFill>
          </a:endParaRPr>
        </a:p>
        <a:p>
          <a:pPr algn="l"/>
          <a:endParaRPr lang="en-US" sz="1100" kern="1200">
            <a:solidFill>
              <a:srgbClr val="00B050"/>
            </a:solidFill>
          </a:endParaRPr>
        </a:p>
      </xdr:txBody>
    </xdr:sp>
    <xdr:clientData/>
  </xdr:twoCellAnchor>
  <xdr:twoCellAnchor>
    <xdr:from>
      <xdr:col>7</xdr:col>
      <xdr:colOff>292434</xdr:colOff>
      <xdr:row>4</xdr:row>
      <xdr:rowOff>58486</xdr:rowOff>
    </xdr:from>
    <xdr:to>
      <xdr:col>9</xdr:col>
      <xdr:colOff>50132</xdr:colOff>
      <xdr:row>5</xdr:row>
      <xdr:rowOff>183814</xdr:rowOff>
    </xdr:to>
    <xdr:sp macro="" textlink="">
      <xdr:nvSpPr>
        <xdr:cNvPr id="7" name="Rectangle 6">
          <a:extLst>
            <a:ext uri="{FF2B5EF4-FFF2-40B4-BE49-F238E27FC236}">
              <a16:creationId xmlns:a16="http://schemas.microsoft.com/office/drawing/2014/main" id="{E8D4337D-7448-4C99-81D6-4555A2708A64}"/>
            </a:ext>
          </a:extLst>
        </xdr:cNvPr>
        <xdr:cNvSpPr/>
      </xdr:nvSpPr>
      <xdr:spPr>
        <a:xfrm>
          <a:off x="8605921" y="793749"/>
          <a:ext cx="2531645" cy="309144"/>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solidFill>
                <a:srgbClr val="00B050"/>
              </a:solidFill>
            </a:rPr>
            <a:t>AVERAGE</a:t>
          </a:r>
          <a:r>
            <a:rPr lang="en-US" sz="1100" kern="1200" baseline="0">
              <a:solidFill>
                <a:srgbClr val="00B050"/>
              </a:solidFill>
            </a:rPr>
            <a:t> TEMPERATURES</a:t>
          </a:r>
        </a:p>
        <a:p>
          <a:pPr algn="l"/>
          <a:endParaRPr lang="en-US" sz="1100" kern="1200">
            <a:solidFill>
              <a:srgbClr val="00B050"/>
            </a:solidFill>
          </a:endParaRPr>
        </a:p>
        <a:p>
          <a:pPr algn="l"/>
          <a:endParaRPr lang="en-US" sz="1100" kern="1200">
            <a:solidFill>
              <a:srgbClr val="00B050"/>
            </a:solidFill>
          </a:endParaRPr>
        </a:p>
      </xdr:txBody>
    </xdr:sp>
    <xdr:clientData/>
  </xdr:twoCellAnchor>
  <xdr:twoCellAnchor>
    <xdr:from>
      <xdr:col>4</xdr:col>
      <xdr:colOff>292436</xdr:colOff>
      <xdr:row>0</xdr:row>
      <xdr:rowOff>33421</xdr:rowOff>
    </xdr:from>
    <xdr:to>
      <xdr:col>8</xdr:col>
      <xdr:colOff>1019344</xdr:colOff>
      <xdr:row>3</xdr:row>
      <xdr:rowOff>167105</xdr:rowOff>
    </xdr:to>
    <xdr:sp macro="" textlink="">
      <xdr:nvSpPr>
        <xdr:cNvPr id="14" name="Arrow: Left-Right 13">
          <a:extLst>
            <a:ext uri="{FF2B5EF4-FFF2-40B4-BE49-F238E27FC236}">
              <a16:creationId xmlns:a16="http://schemas.microsoft.com/office/drawing/2014/main" id="{D59E18A4-2ABE-B745-00B9-9B6C52599276}"/>
            </a:ext>
          </a:extLst>
        </xdr:cNvPr>
        <xdr:cNvSpPr/>
      </xdr:nvSpPr>
      <xdr:spPr>
        <a:xfrm>
          <a:off x="4085725" y="33421"/>
          <a:ext cx="6692566" cy="685131"/>
        </a:xfrm>
        <a:prstGeom prst="leftRightArrow">
          <a:avLst/>
        </a:prstGeom>
        <a:solidFill>
          <a:srgbClr val="92D05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kern="1200">
              <a:solidFill>
                <a:srgbClr val="FF0000"/>
              </a:solidFill>
            </a:rPr>
            <a:t>                    </a:t>
          </a:r>
          <a:r>
            <a:rPr lang="en-US" sz="1800" b="1" kern="1200" baseline="0">
              <a:solidFill>
                <a:srgbClr val="FF0000"/>
              </a:solidFill>
            </a:rPr>
            <a:t>             CHARTS  AND DASHBOARDS</a:t>
          </a:r>
          <a:r>
            <a:rPr lang="en-US" sz="1100" kern="1200" baseline="0"/>
            <a:t>.</a:t>
          </a:r>
          <a:endParaRPr lang="en-US" sz="1100" kern="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ST" refreshedDate="46166.826865972223" createdVersion="8" refreshedVersion="8" minRefreshableVersion="3" recordCount="110" xr:uid="{4204A2D5-F8A4-4918-B84D-5CCB06584E28}">
  <cacheSource type="worksheet">
    <worksheetSource name="Table1"/>
  </cacheSource>
  <cacheFields count="9">
    <cacheField name="County" numFmtId="0">
      <sharedItems count="10">
        <s v="Nairobi"/>
        <s v="Kiambu"/>
        <s v="Mombasa"/>
        <s v="Kisumu"/>
        <s v="Nakuru"/>
        <s v="Machakos"/>
        <s v="Kakamega"/>
        <s v="Uasin Gishu"/>
        <s v="Meru"/>
        <s v="Nyeri"/>
      </sharedItems>
    </cacheField>
    <cacheField name="Year" numFmtId="0">
      <sharedItems containsSemiMixedTypes="0" containsString="0" containsNumber="1" containsInteger="1" minValue="2015" maxValue="2025" count="11">
        <n v="2015"/>
        <n v="2016"/>
        <n v="2017"/>
        <n v="2018"/>
        <n v="2019"/>
        <n v="2020"/>
        <n v="2021"/>
        <n v="2022"/>
        <n v="2023"/>
        <n v="2024"/>
        <n v="2025"/>
      </sharedItems>
    </cacheField>
    <cacheField name="Population" numFmtId="0">
      <sharedItems containsSemiMixedTypes="0" containsString="0" containsNumber="1" containsInteger="1" minValue="634621" maxValue="7381924" count="110">
        <n v="773343"/>
        <n v="802240"/>
        <n v="828192"/>
        <n v="875658"/>
        <n v="836082"/>
        <n v="881527"/>
        <n v="912689"/>
        <n v="1040422"/>
        <n v="887765"/>
        <n v="1004442"/>
        <n v="942459"/>
        <n v="4309085"/>
        <n v="4393581"/>
        <n v="4517418"/>
        <n v="4620944"/>
        <n v="5130569"/>
        <n v="5035931"/>
        <n v="4881122"/>
        <n v="5514031"/>
        <n v="5570505"/>
        <n v="5764756"/>
        <n v="5255630"/>
        <n v="634621"/>
        <n v="645094"/>
        <n v="660166"/>
        <n v="706054"/>
        <n v="705016"/>
        <n v="720841"/>
        <n v="717074"/>
        <n v="857282"/>
        <n v="783903"/>
        <n v="744967"/>
        <n v="757870"/>
        <n v="4956406"/>
        <n v="5056192"/>
        <n v="5338478"/>
        <n v="5384815"/>
        <n v="5513019"/>
        <n v="5401748"/>
        <n v="6380550"/>
        <n v="5858454"/>
        <n v="6894880"/>
        <n v="5904734"/>
        <n v="7381924"/>
        <n v="4878022"/>
        <n v="5073283"/>
        <n v="5214426"/>
        <n v="5417498"/>
        <n v="5221223"/>
        <n v="5519542"/>
        <n v="5915174"/>
        <n v="6366813"/>
        <n v="6848854"/>
        <n v="6231838"/>
        <n v="6745298"/>
        <n v="727385"/>
        <n v="743652"/>
        <n v="755623"/>
        <n v="820433"/>
        <n v="778415"/>
        <n v="802481"/>
        <n v="802941"/>
        <n v="836881"/>
        <n v="995776"/>
        <n v="1000416"/>
        <n v="1097836"/>
        <n v="3649697"/>
        <n v="3735795"/>
        <n v="3929516"/>
        <n v="3874823"/>
        <n v="4340384"/>
        <n v="4209152"/>
        <n v="4455350"/>
        <n v="4894670"/>
        <n v="4661908"/>
        <n v="5381662"/>
        <n v="5156368"/>
        <n v="4589973"/>
        <n v="4705662"/>
        <n v="4809361"/>
        <n v="4880124"/>
        <n v="5164668"/>
        <n v="5602648"/>
        <n v="5948804"/>
        <n v="5741515"/>
        <n v="5244119"/>
        <n v="6597293"/>
        <n v="6551347"/>
        <n v="1929776"/>
        <n v="1988523"/>
        <n v="2032585"/>
        <n v="2046338"/>
        <n v="2075757"/>
        <n v="2251682"/>
        <n v="2113015"/>
        <n v="2469704"/>
        <n v="2207461"/>
        <n v="2584336"/>
        <n v="2993430"/>
        <n v="2728087"/>
        <n v="2779371"/>
        <n v="2917412"/>
        <n v="2889373"/>
        <n v="3151293"/>
        <n v="3377112"/>
        <n v="3117827"/>
        <n v="3404184"/>
        <n v="3616073"/>
        <n v="3758814"/>
        <n v="3982715"/>
      </sharedItems>
    </cacheField>
    <cacheField name="Secondary_Education_%" numFmtId="2">
      <sharedItems containsString="0" containsBlank="1" containsNumber="1" minValue="40.5" maxValue="82.7" count="91">
        <n v="69.099999999999994"/>
        <n v="70.599999999999994"/>
        <n v="68.3"/>
        <m/>
        <n v="76.5"/>
        <n v="71.099999999999994"/>
        <n v="68.7"/>
        <n v="71.5"/>
        <n v="72"/>
        <n v="75.400000000000006"/>
        <n v="73.400000000000006"/>
        <n v="79.5"/>
        <n v="77.7"/>
        <n v="77.8"/>
        <n v="73.7"/>
        <n v="78.7"/>
        <n v="76.099999999999994"/>
        <n v="71.8"/>
        <n v="78.3"/>
        <n v="73.900000000000006"/>
        <n v="70.7"/>
        <n v="72.2"/>
        <n v="66"/>
        <n v="68.8"/>
        <n v="74.5"/>
        <n v="74.400000000000006"/>
        <n v="65.900000000000006"/>
        <n v="73.3"/>
        <n v="41.3"/>
        <n v="43.1"/>
        <n v="42.3"/>
        <n v="47.6"/>
        <n v="45.6"/>
        <n v="46.2"/>
        <n v="47.9"/>
        <n v="42.4"/>
        <n v="45.9"/>
        <n v="44.8"/>
        <n v="52.2"/>
        <n v="48.4"/>
        <n v="51.2"/>
        <n v="47"/>
        <n v="48.9"/>
        <n v="47.1"/>
        <n v="50.5"/>
        <n v="48.6"/>
        <n v="43.2"/>
        <n v="74.2"/>
        <n v="80.900000000000006"/>
        <n v="77.3"/>
        <n v="79.8"/>
        <n v="78.8"/>
        <n v="82.4"/>
        <n v="78.5"/>
        <n v="75.900000000000006"/>
        <n v="82.7"/>
        <n v="69.2"/>
        <n v="69.5"/>
        <n v="68.400000000000006"/>
        <n v="65.3"/>
        <n v="68.099999999999994"/>
        <n v="70.5"/>
        <n v="68.5"/>
        <n v="65.5"/>
        <n v="45.8"/>
        <n v="40.9"/>
        <n v="41.6"/>
        <n v="40.5"/>
        <n v="49.9"/>
        <n v="47.7"/>
        <n v="48.7"/>
        <n v="44.5"/>
        <n v="42.9"/>
        <n v="54.1"/>
        <n v="53.4"/>
        <n v="57.1"/>
        <n v="55.5"/>
        <n v="56.8"/>
        <n v="56.6"/>
        <n v="49"/>
        <n v="51.8"/>
        <n v="57.3"/>
        <n v="53.6"/>
        <n v="49.1"/>
        <n v="51.3"/>
        <n v="53.1"/>
        <n v="50"/>
        <n v="50.8"/>
        <n v="48.8"/>
        <n v="53.5"/>
        <n v="49.2"/>
      </sharedItems>
    </cacheField>
    <cacheField name="Literacy_Rate_%" numFmtId="2">
      <sharedItems containsSemiMixedTypes="0" containsString="0" containsNumber="1" minValue="48.5" maxValue="93.7"/>
    </cacheField>
    <cacheField name="Unemployment_Rate_%" numFmtId="2">
      <sharedItems containsSemiMixedTypes="0" containsString="0" containsNumber="1" minValue="6.5" maxValue="17.7"/>
    </cacheField>
    <cacheField name="Average_Temperature_C" numFmtId="2">
      <sharedItems containsSemiMixedTypes="0" containsString="0" containsNumber="1" minValue="18.2" maxValue="30.9"/>
    </cacheField>
    <cacheField name="Annual_Rainfall_mm" numFmtId="0">
      <sharedItems containsString="0" containsBlank="1" containsNumber="1" containsInteger="1" minValue="315" maxValue="1766"/>
    </cacheField>
    <cacheField name="Internet_Access_%" numFmtId="0">
      <sharedItems containsSemiMixedTypes="0" containsString="0" containsNumber="1" minValue="25.3" maxValue="89.4"/>
    </cacheField>
  </cacheFields>
  <extLst>
    <ext xmlns:x14="http://schemas.microsoft.com/office/spreadsheetml/2009/9/main" uri="{725AE2AE-9491-48be-B2B4-4EB974FC3084}">
      <x14:pivotCacheDefinition pivotCacheId="304524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x v="0"/>
    <x v="0"/>
    <x v="0"/>
    <x v="0"/>
    <n v="79.900000000000006"/>
    <n v="15.8"/>
    <n v="26.5"/>
    <n v="1270"/>
    <n v="27.2"/>
  </r>
  <r>
    <x v="0"/>
    <x v="1"/>
    <x v="1"/>
    <x v="1"/>
    <n v="76.599999999999994"/>
    <n v="11"/>
    <n v="22.6"/>
    <n v="1403"/>
    <n v="43.4"/>
  </r>
  <r>
    <x v="0"/>
    <x v="2"/>
    <x v="2"/>
    <x v="2"/>
    <n v="80.2"/>
    <n v="15.2"/>
    <n v="30.6"/>
    <n v="1502"/>
    <n v="49.4"/>
  </r>
  <r>
    <x v="0"/>
    <x v="3"/>
    <x v="3"/>
    <x v="3"/>
    <n v="79.099999999999994"/>
    <n v="15.3"/>
    <n v="26.7"/>
    <n v="1418"/>
    <n v="53.3"/>
  </r>
  <r>
    <x v="0"/>
    <x v="4"/>
    <x v="4"/>
    <x v="3"/>
    <n v="74.5"/>
    <n v="11"/>
    <n v="24.5"/>
    <n v="1606"/>
    <n v="64.400000000000006"/>
  </r>
  <r>
    <x v="0"/>
    <x v="5"/>
    <x v="5"/>
    <x v="4"/>
    <n v="82.5"/>
    <n v="17"/>
    <n v="30.5"/>
    <n v="1583"/>
    <n v="31.3"/>
  </r>
  <r>
    <x v="0"/>
    <x v="6"/>
    <x v="6"/>
    <x v="5"/>
    <n v="78"/>
    <n v="8.9"/>
    <n v="26"/>
    <n v="1279"/>
    <n v="81.2"/>
  </r>
  <r>
    <x v="0"/>
    <x v="7"/>
    <x v="7"/>
    <x v="6"/>
    <n v="79.099999999999994"/>
    <n v="8.1"/>
    <n v="22.3"/>
    <n v="1302"/>
    <n v="25.3"/>
  </r>
  <r>
    <x v="0"/>
    <x v="8"/>
    <x v="8"/>
    <x v="7"/>
    <n v="79.2"/>
    <n v="13"/>
    <n v="29.3"/>
    <n v="1532"/>
    <n v="83.1"/>
  </r>
  <r>
    <x v="0"/>
    <x v="9"/>
    <x v="9"/>
    <x v="8"/>
    <n v="81.7"/>
    <n v="8"/>
    <n v="29.7"/>
    <n v="1257"/>
    <n v="52.3"/>
  </r>
  <r>
    <x v="0"/>
    <x v="10"/>
    <x v="10"/>
    <x v="3"/>
    <n v="79.3"/>
    <n v="17.600000000000001"/>
    <n v="18.5"/>
    <n v="1189"/>
    <n v="53.5"/>
  </r>
  <r>
    <x v="1"/>
    <x v="0"/>
    <x v="11"/>
    <x v="9"/>
    <n v="83.5"/>
    <n v="12"/>
    <n v="27.4"/>
    <n v="888"/>
    <n v="70.400000000000006"/>
  </r>
  <r>
    <x v="1"/>
    <x v="1"/>
    <x v="12"/>
    <x v="10"/>
    <n v="83.2"/>
    <n v="13.4"/>
    <n v="26.4"/>
    <m/>
    <n v="62.4"/>
  </r>
  <r>
    <x v="1"/>
    <x v="2"/>
    <x v="13"/>
    <x v="11"/>
    <n v="86.5"/>
    <n v="9"/>
    <n v="19.2"/>
    <n v="790"/>
    <n v="84.4"/>
  </r>
  <r>
    <x v="1"/>
    <x v="3"/>
    <x v="14"/>
    <x v="12"/>
    <n v="86.9"/>
    <n v="7.7"/>
    <n v="30"/>
    <n v="583"/>
    <n v="89.1"/>
  </r>
  <r>
    <x v="1"/>
    <x v="4"/>
    <x v="15"/>
    <x v="13"/>
    <n v="89.5"/>
    <n v="9.6999999999999993"/>
    <n v="29.2"/>
    <n v="869"/>
    <n v="70.2"/>
  </r>
  <r>
    <x v="1"/>
    <x v="5"/>
    <x v="16"/>
    <x v="14"/>
    <n v="83.1"/>
    <n v="10.4"/>
    <n v="26.2"/>
    <n v="592"/>
    <n v="52.6"/>
  </r>
  <r>
    <x v="1"/>
    <x v="6"/>
    <x v="17"/>
    <x v="15"/>
    <n v="89.5"/>
    <n v="15.6"/>
    <n v="22.5"/>
    <n v="669"/>
    <n v="54.7"/>
  </r>
  <r>
    <x v="1"/>
    <x v="7"/>
    <x v="18"/>
    <x v="16"/>
    <n v="82.9"/>
    <n v="12.1"/>
    <n v="23.7"/>
    <n v="659"/>
    <n v="47.7"/>
  </r>
  <r>
    <x v="1"/>
    <x v="8"/>
    <x v="19"/>
    <x v="17"/>
    <n v="79.400000000000006"/>
    <n v="12.5"/>
    <n v="27.4"/>
    <n v="891"/>
    <n v="36"/>
  </r>
  <r>
    <x v="1"/>
    <x v="9"/>
    <x v="20"/>
    <x v="18"/>
    <n v="87.4"/>
    <n v="9.6999999999999993"/>
    <n v="26.5"/>
    <n v="522"/>
    <n v="73.099999999999994"/>
  </r>
  <r>
    <x v="1"/>
    <x v="10"/>
    <x v="21"/>
    <x v="8"/>
    <n v="83.6"/>
    <n v="15.5"/>
    <n v="20.9"/>
    <n v="866"/>
    <n v="29.8"/>
  </r>
  <r>
    <x v="2"/>
    <x v="0"/>
    <x v="22"/>
    <x v="19"/>
    <n v="85.4"/>
    <n v="8.3000000000000007"/>
    <n v="25.3"/>
    <m/>
    <n v="87.1"/>
  </r>
  <r>
    <x v="2"/>
    <x v="1"/>
    <x v="23"/>
    <x v="20"/>
    <n v="78.5"/>
    <n v="16.3"/>
    <n v="25.8"/>
    <n v="699"/>
    <n v="75.2"/>
  </r>
  <r>
    <x v="2"/>
    <x v="2"/>
    <x v="24"/>
    <x v="21"/>
    <n v="82.8"/>
    <n v="12.4"/>
    <n v="19.100000000000001"/>
    <n v="836"/>
    <n v="62.6"/>
  </r>
  <r>
    <x v="2"/>
    <x v="3"/>
    <x v="25"/>
    <x v="5"/>
    <n v="83"/>
    <n v="14.7"/>
    <n v="20.3"/>
    <n v="1033"/>
    <n v="52.5"/>
  </r>
  <r>
    <x v="2"/>
    <x v="4"/>
    <x v="26"/>
    <x v="22"/>
    <n v="71.3"/>
    <n v="13.7"/>
    <n v="29.2"/>
    <n v="939"/>
    <n v="66.2"/>
  </r>
  <r>
    <x v="2"/>
    <x v="5"/>
    <x v="27"/>
    <x v="23"/>
    <n v="74.2"/>
    <n v="6.6"/>
    <n v="22"/>
    <n v="726"/>
    <n v="28.2"/>
  </r>
  <r>
    <x v="2"/>
    <x v="6"/>
    <x v="28"/>
    <x v="24"/>
    <n v="83.7"/>
    <n v="6.5"/>
    <n v="23.6"/>
    <n v="788"/>
    <n v="74.400000000000006"/>
  </r>
  <r>
    <x v="2"/>
    <x v="7"/>
    <x v="29"/>
    <x v="25"/>
    <n v="79.7"/>
    <n v="9.9"/>
    <n v="28.8"/>
    <n v="702"/>
    <n v="62.8"/>
  </r>
  <r>
    <x v="2"/>
    <x v="8"/>
    <x v="30"/>
    <x v="26"/>
    <n v="71.7"/>
    <n v="17.5"/>
    <n v="19.399999999999999"/>
    <n v="981"/>
    <n v="66.5"/>
  </r>
  <r>
    <x v="2"/>
    <x v="9"/>
    <x v="31"/>
    <x v="27"/>
    <n v="81.599999999999994"/>
    <n v="12.3"/>
    <n v="21.2"/>
    <n v="760"/>
    <n v="25.8"/>
  </r>
  <r>
    <x v="2"/>
    <x v="10"/>
    <x v="32"/>
    <x v="3"/>
    <n v="80.400000000000006"/>
    <n v="11.7"/>
    <n v="23.2"/>
    <n v="723"/>
    <n v="43.7"/>
  </r>
  <r>
    <x v="3"/>
    <x v="0"/>
    <x v="33"/>
    <x v="28"/>
    <n v="49.3"/>
    <n v="13.8"/>
    <n v="28.8"/>
    <n v="444"/>
    <n v="72.3"/>
  </r>
  <r>
    <x v="3"/>
    <x v="1"/>
    <x v="34"/>
    <x v="29"/>
    <n v="53.8"/>
    <n v="9.5"/>
    <n v="21.2"/>
    <n v="479"/>
    <n v="50.1"/>
  </r>
  <r>
    <x v="3"/>
    <x v="2"/>
    <x v="35"/>
    <x v="30"/>
    <n v="53.2"/>
    <n v="7.5"/>
    <n v="26.9"/>
    <n v="745"/>
    <n v="88.6"/>
  </r>
  <r>
    <x v="3"/>
    <x v="3"/>
    <x v="36"/>
    <x v="31"/>
    <n v="58.9"/>
    <n v="13.5"/>
    <n v="25.2"/>
    <n v="380"/>
    <n v="70.7"/>
  </r>
  <r>
    <x v="3"/>
    <x v="4"/>
    <x v="37"/>
    <x v="32"/>
    <n v="55.6"/>
    <n v="17.399999999999999"/>
    <n v="26.7"/>
    <n v="424"/>
    <n v="42.2"/>
  </r>
  <r>
    <x v="3"/>
    <x v="5"/>
    <x v="38"/>
    <x v="33"/>
    <n v="51.9"/>
    <n v="7.7"/>
    <n v="19.600000000000001"/>
    <m/>
    <n v="65.2"/>
  </r>
  <r>
    <x v="3"/>
    <x v="6"/>
    <x v="39"/>
    <x v="33"/>
    <n v="52.2"/>
    <n v="16.5"/>
    <n v="18.8"/>
    <n v="381"/>
    <n v="64.599999999999994"/>
  </r>
  <r>
    <x v="3"/>
    <x v="7"/>
    <x v="40"/>
    <x v="34"/>
    <n v="58.9"/>
    <n v="11"/>
    <n v="22.9"/>
    <n v="695"/>
    <n v="71.099999999999994"/>
  </r>
  <r>
    <x v="3"/>
    <x v="8"/>
    <x v="41"/>
    <x v="35"/>
    <n v="48.5"/>
    <n v="10.8"/>
    <n v="26.5"/>
    <n v="711"/>
    <n v="78.7"/>
  </r>
  <r>
    <x v="3"/>
    <x v="9"/>
    <x v="42"/>
    <x v="36"/>
    <n v="54.2"/>
    <n v="10.7"/>
    <n v="21.6"/>
    <n v="461"/>
    <n v="57.2"/>
  </r>
  <r>
    <x v="3"/>
    <x v="10"/>
    <x v="43"/>
    <x v="37"/>
    <n v="56.5"/>
    <n v="16.7"/>
    <n v="27.6"/>
    <n v="515"/>
    <n v="33.4"/>
  </r>
  <r>
    <x v="4"/>
    <x v="0"/>
    <x v="44"/>
    <x v="38"/>
    <n v="62.1"/>
    <n v="7"/>
    <n v="18.5"/>
    <n v="995"/>
    <n v="89.4"/>
  </r>
  <r>
    <x v="4"/>
    <x v="1"/>
    <x v="45"/>
    <x v="38"/>
    <n v="57.8"/>
    <n v="14.7"/>
    <n v="18.899999999999999"/>
    <n v="1165"/>
    <n v="77.5"/>
  </r>
  <r>
    <x v="4"/>
    <x v="2"/>
    <x v="46"/>
    <x v="39"/>
    <n v="58.2"/>
    <n v="12.5"/>
    <n v="27.7"/>
    <n v="1346"/>
    <n v="35.200000000000003"/>
  </r>
  <r>
    <x v="4"/>
    <x v="3"/>
    <x v="47"/>
    <x v="40"/>
    <n v="62.9"/>
    <n v="10.6"/>
    <n v="30.8"/>
    <n v="1252"/>
    <n v="72.400000000000006"/>
  </r>
  <r>
    <x v="4"/>
    <x v="4"/>
    <x v="48"/>
    <x v="41"/>
    <n v="58.6"/>
    <n v="7.1"/>
    <n v="30.2"/>
    <n v="1210"/>
    <n v="36.6"/>
  </r>
  <r>
    <x v="4"/>
    <x v="5"/>
    <x v="49"/>
    <x v="42"/>
    <n v="57.3"/>
    <n v="7.9"/>
    <n v="22.6"/>
    <n v="980"/>
    <n v="46.2"/>
  </r>
  <r>
    <x v="4"/>
    <x v="6"/>
    <x v="50"/>
    <x v="43"/>
    <n v="53.3"/>
    <n v="9.4"/>
    <n v="28.7"/>
    <n v="1407"/>
    <n v="52.2"/>
  </r>
  <r>
    <x v="4"/>
    <x v="7"/>
    <x v="51"/>
    <x v="40"/>
    <n v="62.9"/>
    <n v="12.4"/>
    <n v="24.8"/>
    <n v="1348"/>
    <n v="60.8"/>
  </r>
  <r>
    <x v="4"/>
    <x v="8"/>
    <x v="52"/>
    <x v="44"/>
    <n v="61.2"/>
    <n v="16.2"/>
    <n v="23.1"/>
    <n v="989"/>
    <n v="53.9"/>
  </r>
  <r>
    <x v="4"/>
    <x v="9"/>
    <x v="53"/>
    <x v="45"/>
    <n v="54.8"/>
    <n v="7.9"/>
    <n v="24.1"/>
    <n v="1271"/>
    <n v="55.4"/>
  </r>
  <r>
    <x v="4"/>
    <x v="10"/>
    <x v="54"/>
    <x v="46"/>
    <n v="52.6"/>
    <n v="12.5"/>
    <n v="28.6"/>
    <n v="1133"/>
    <n v="36.9"/>
  </r>
  <r>
    <x v="5"/>
    <x v="0"/>
    <x v="55"/>
    <x v="3"/>
    <n v="90.5"/>
    <n v="6.7"/>
    <n v="27.9"/>
    <n v="1440"/>
    <n v="74.900000000000006"/>
  </r>
  <r>
    <x v="5"/>
    <x v="1"/>
    <x v="56"/>
    <x v="47"/>
    <n v="82.4"/>
    <n v="14.2"/>
    <n v="22.6"/>
    <m/>
    <n v="66"/>
  </r>
  <r>
    <x v="5"/>
    <x v="2"/>
    <x v="57"/>
    <x v="48"/>
    <n v="86.7"/>
    <n v="16.8"/>
    <n v="27.3"/>
    <n v="1598"/>
    <n v="75.5"/>
  </r>
  <r>
    <x v="5"/>
    <x v="3"/>
    <x v="58"/>
    <x v="49"/>
    <n v="85.3"/>
    <n v="15.8"/>
    <n v="19.399999999999999"/>
    <n v="1696"/>
    <n v="72"/>
  </r>
  <r>
    <x v="5"/>
    <x v="4"/>
    <x v="59"/>
    <x v="50"/>
    <n v="87.1"/>
    <n v="12.6"/>
    <n v="20.6"/>
    <m/>
    <n v="63.1"/>
  </r>
  <r>
    <x v="5"/>
    <x v="5"/>
    <x v="60"/>
    <x v="51"/>
    <n v="86.5"/>
    <n v="10.7"/>
    <n v="28.3"/>
    <n v="1459"/>
    <n v="83.7"/>
  </r>
  <r>
    <x v="5"/>
    <x v="6"/>
    <x v="61"/>
    <x v="52"/>
    <n v="88"/>
    <n v="9.1"/>
    <n v="28.1"/>
    <n v="1693"/>
    <n v="64.900000000000006"/>
  </r>
  <r>
    <x v="5"/>
    <x v="7"/>
    <x v="62"/>
    <x v="53"/>
    <n v="87.4"/>
    <n v="16.7"/>
    <n v="26.9"/>
    <n v="1714"/>
    <n v="39.9"/>
  </r>
  <r>
    <x v="5"/>
    <x v="8"/>
    <x v="63"/>
    <x v="51"/>
    <n v="89.1"/>
    <n v="14.5"/>
    <n v="28.5"/>
    <n v="1766"/>
    <n v="62.1"/>
  </r>
  <r>
    <x v="5"/>
    <x v="9"/>
    <x v="64"/>
    <x v="54"/>
    <n v="83.7"/>
    <n v="6.9"/>
    <n v="26.9"/>
    <n v="1357"/>
    <n v="64.3"/>
  </r>
  <r>
    <x v="5"/>
    <x v="10"/>
    <x v="65"/>
    <x v="55"/>
    <n v="93.7"/>
    <n v="9.9"/>
    <n v="29.5"/>
    <n v="1654"/>
    <n v="86.1"/>
  </r>
  <r>
    <x v="6"/>
    <x v="0"/>
    <x v="66"/>
    <x v="56"/>
    <n v="74.8"/>
    <n v="12.2"/>
    <n v="18.8"/>
    <n v="1518"/>
    <n v="29.2"/>
  </r>
  <r>
    <x v="6"/>
    <x v="1"/>
    <x v="67"/>
    <x v="6"/>
    <n v="79.099999999999994"/>
    <n v="7.6"/>
    <n v="25.4"/>
    <n v="1553"/>
    <n v="80"/>
  </r>
  <r>
    <x v="6"/>
    <x v="2"/>
    <x v="68"/>
    <x v="57"/>
    <n v="77.3"/>
    <n v="7.4"/>
    <n v="26"/>
    <n v="1159"/>
    <n v="35.6"/>
  </r>
  <r>
    <x v="6"/>
    <x v="3"/>
    <x v="69"/>
    <x v="58"/>
    <n v="78.8"/>
    <n v="13.9"/>
    <n v="26.3"/>
    <n v="1177"/>
    <n v="53.7"/>
  </r>
  <r>
    <x v="6"/>
    <x v="4"/>
    <x v="70"/>
    <x v="59"/>
    <n v="74"/>
    <n v="16.7"/>
    <n v="25.1"/>
    <n v="1306"/>
    <n v="73.3"/>
  </r>
  <r>
    <x v="6"/>
    <x v="5"/>
    <x v="71"/>
    <x v="2"/>
    <n v="75.099999999999994"/>
    <n v="6.8"/>
    <n v="30.9"/>
    <n v="1297"/>
    <n v="67.400000000000006"/>
  </r>
  <r>
    <x v="6"/>
    <x v="6"/>
    <x v="72"/>
    <x v="60"/>
    <n v="74.3"/>
    <n v="11.1"/>
    <n v="19.5"/>
    <n v="1432"/>
    <n v="65.099999999999994"/>
  </r>
  <r>
    <x v="6"/>
    <x v="7"/>
    <x v="73"/>
    <x v="3"/>
    <n v="76.5"/>
    <n v="9.1999999999999993"/>
    <n v="20.5"/>
    <n v="1475"/>
    <n v="68.599999999999994"/>
  </r>
  <r>
    <x v="6"/>
    <x v="8"/>
    <x v="74"/>
    <x v="61"/>
    <n v="77.599999999999994"/>
    <n v="6.7"/>
    <n v="30"/>
    <n v="1536"/>
    <n v="48.7"/>
  </r>
  <r>
    <x v="6"/>
    <x v="9"/>
    <x v="75"/>
    <x v="62"/>
    <n v="74"/>
    <n v="6.8"/>
    <n v="25.3"/>
    <n v="1374"/>
    <n v="75.900000000000006"/>
  </r>
  <r>
    <x v="6"/>
    <x v="10"/>
    <x v="76"/>
    <x v="63"/>
    <n v="75.099999999999994"/>
    <n v="12"/>
    <n v="22.4"/>
    <n v="1455"/>
    <n v="70.3"/>
  </r>
  <r>
    <x v="7"/>
    <x v="0"/>
    <x v="77"/>
    <x v="64"/>
    <n v="57.3"/>
    <n v="13.8"/>
    <n v="28.6"/>
    <n v="1384"/>
    <n v="76.7"/>
  </r>
  <r>
    <x v="7"/>
    <x v="1"/>
    <x v="78"/>
    <x v="65"/>
    <n v="49"/>
    <n v="16.3"/>
    <n v="20.3"/>
    <n v="1312"/>
    <n v="74.7"/>
  </r>
  <r>
    <x v="7"/>
    <x v="2"/>
    <x v="79"/>
    <x v="66"/>
    <n v="52.9"/>
    <n v="12.9"/>
    <n v="30.7"/>
    <m/>
    <n v="70.2"/>
  </r>
  <r>
    <x v="7"/>
    <x v="3"/>
    <x v="80"/>
    <x v="67"/>
    <n v="49.5"/>
    <n v="15.3"/>
    <n v="18.2"/>
    <n v="1249"/>
    <n v="44.2"/>
  </r>
  <r>
    <x v="7"/>
    <x v="4"/>
    <x v="81"/>
    <x v="68"/>
    <n v="61.7"/>
    <n v="15"/>
    <n v="30.3"/>
    <n v="1117"/>
    <n v="28.1"/>
  </r>
  <r>
    <x v="7"/>
    <x v="5"/>
    <x v="82"/>
    <x v="3"/>
    <n v="52.7"/>
    <n v="17.7"/>
    <n v="25.4"/>
    <n v="1400"/>
    <n v="66.5"/>
  </r>
  <r>
    <x v="7"/>
    <x v="6"/>
    <x v="83"/>
    <x v="69"/>
    <n v="56.8"/>
    <n v="10.9"/>
    <n v="25.8"/>
    <n v="1211"/>
    <n v="49.7"/>
  </r>
  <r>
    <x v="7"/>
    <x v="7"/>
    <x v="84"/>
    <x v="70"/>
    <n v="53.8"/>
    <n v="16"/>
    <n v="19.899999999999999"/>
    <n v="1031"/>
    <n v="38.299999999999997"/>
  </r>
  <r>
    <x v="7"/>
    <x v="8"/>
    <x v="85"/>
    <x v="71"/>
    <n v="53.9"/>
    <n v="14.4"/>
    <n v="20.3"/>
    <n v="1257"/>
    <n v="78"/>
  </r>
  <r>
    <x v="7"/>
    <x v="9"/>
    <x v="86"/>
    <x v="34"/>
    <n v="56.3"/>
    <n v="17.600000000000001"/>
    <n v="19.2"/>
    <n v="1028"/>
    <n v="55.7"/>
  </r>
  <r>
    <x v="7"/>
    <x v="10"/>
    <x v="87"/>
    <x v="72"/>
    <n v="51.2"/>
    <n v="16.600000000000001"/>
    <n v="18.600000000000001"/>
    <m/>
    <n v="30.1"/>
  </r>
  <r>
    <x v="8"/>
    <x v="0"/>
    <x v="88"/>
    <x v="3"/>
    <n v="60.2"/>
    <n v="16.600000000000001"/>
    <n v="30.4"/>
    <n v="735"/>
    <n v="76.5"/>
  </r>
  <r>
    <x v="8"/>
    <x v="1"/>
    <x v="89"/>
    <x v="73"/>
    <n v="61.2"/>
    <n v="13.3"/>
    <n v="21.3"/>
    <n v="488"/>
    <n v="26"/>
  </r>
  <r>
    <x v="8"/>
    <x v="2"/>
    <x v="90"/>
    <x v="74"/>
    <n v="60.3"/>
    <n v="10.3"/>
    <n v="25.1"/>
    <n v="315"/>
    <n v="46.3"/>
  </r>
  <r>
    <x v="8"/>
    <x v="3"/>
    <x v="91"/>
    <x v="75"/>
    <n v="64.599999999999994"/>
    <n v="7.1"/>
    <n v="22.1"/>
    <m/>
    <n v="44.9"/>
  </r>
  <r>
    <x v="8"/>
    <x v="4"/>
    <x v="92"/>
    <x v="76"/>
    <n v="61.4"/>
    <n v="10.4"/>
    <n v="30.8"/>
    <n v="732"/>
    <n v="27"/>
  </r>
  <r>
    <x v="8"/>
    <x v="5"/>
    <x v="93"/>
    <x v="77"/>
    <n v="66.400000000000006"/>
    <n v="10.6"/>
    <n v="25.1"/>
    <n v="710"/>
    <n v="81.599999999999994"/>
  </r>
  <r>
    <x v="8"/>
    <x v="6"/>
    <x v="94"/>
    <x v="78"/>
    <n v="68.400000000000006"/>
    <n v="7.5"/>
    <n v="20.5"/>
    <n v="467"/>
    <n v="87.1"/>
  </r>
  <r>
    <x v="8"/>
    <x v="7"/>
    <x v="95"/>
    <x v="79"/>
    <n v="56.7"/>
    <n v="7.7"/>
    <n v="22.3"/>
    <n v="636"/>
    <n v="44.5"/>
  </r>
  <r>
    <x v="8"/>
    <x v="8"/>
    <x v="96"/>
    <x v="80"/>
    <n v="57.9"/>
    <n v="14.4"/>
    <n v="30.5"/>
    <n v="475"/>
    <n v="49.2"/>
  </r>
  <r>
    <x v="8"/>
    <x v="9"/>
    <x v="97"/>
    <x v="81"/>
    <n v="62.8"/>
    <n v="17.5"/>
    <n v="23.4"/>
    <n v="649"/>
    <n v="29.4"/>
  </r>
  <r>
    <x v="8"/>
    <x v="10"/>
    <x v="98"/>
    <x v="74"/>
    <n v="59.8"/>
    <n v="16.2"/>
    <n v="28.4"/>
    <n v="612"/>
    <n v="80.400000000000006"/>
  </r>
  <r>
    <x v="9"/>
    <x v="0"/>
    <x v="99"/>
    <x v="41"/>
    <n v="55.1"/>
    <n v="8.8000000000000007"/>
    <n v="19.7"/>
    <n v="1204"/>
    <n v="75.8"/>
  </r>
  <r>
    <x v="9"/>
    <x v="1"/>
    <x v="100"/>
    <x v="82"/>
    <n v="61.2"/>
    <n v="7.7"/>
    <n v="19.8"/>
    <n v="1236"/>
    <n v="75.7"/>
  </r>
  <r>
    <x v="9"/>
    <x v="2"/>
    <x v="101"/>
    <x v="83"/>
    <n v="55.5"/>
    <n v="10.9"/>
    <n v="23.2"/>
    <n v="916"/>
    <n v="41.9"/>
  </r>
  <r>
    <x v="9"/>
    <x v="3"/>
    <x v="102"/>
    <x v="84"/>
    <n v="57.1"/>
    <n v="9.3000000000000007"/>
    <n v="28.5"/>
    <n v="896"/>
    <n v="70.2"/>
  </r>
  <r>
    <x v="9"/>
    <x v="4"/>
    <x v="103"/>
    <x v="85"/>
    <n v="58.4"/>
    <n v="11.1"/>
    <n v="20.9"/>
    <n v="1083"/>
    <n v="45.4"/>
  </r>
  <r>
    <x v="9"/>
    <x v="5"/>
    <x v="104"/>
    <x v="33"/>
    <n v="57.1"/>
    <n v="7.9"/>
    <n v="20.7"/>
    <n v="883"/>
    <n v="64.900000000000006"/>
  </r>
  <r>
    <x v="9"/>
    <x v="6"/>
    <x v="105"/>
    <x v="86"/>
    <n v="60.9"/>
    <n v="10.1"/>
    <n v="26.8"/>
    <n v="1146"/>
    <n v="34.1"/>
  </r>
  <r>
    <x v="9"/>
    <x v="7"/>
    <x v="106"/>
    <x v="87"/>
    <n v="58.7"/>
    <n v="10.3"/>
    <n v="30.7"/>
    <n v="1154"/>
    <n v="79.2"/>
  </r>
  <r>
    <x v="9"/>
    <x v="8"/>
    <x v="107"/>
    <x v="88"/>
    <n v="60.1"/>
    <n v="8"/>
    <n v="23.8"/>
    <n v="990"/>
    <n v="27.2"/>
  </r>
  <r>
    <x v="9"/>
    <x v="9"/>
    <x v="108"/>
    <x v="89"/>
    <n v="63"/>
    <n v="12.5"/>
    <n v="20.100000000000001"/>
    <n v="976"/>
    <n v="64.599999999999994"/>
  </r>
  <r>
    <x v="9"/>
    <x v="10"/>
    <x v="109"/>
    <x v="90"/>
    <n v="55.2"/>
    <n v="11.6"/>
    <n v="26.7"/>
    <n v="1195"/>
    <n v="2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02576B-027A-42D8-8FCD-9ACA503D92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15" firstHeaderRow="1" firstDataRow="1" firstDataCol="1"/>
  <pivotFields count="9">
    <pivotField showAll="0"/>
    <pivotField axis="axisRow" showAll="0">
      <items count="12">
        <item x="0"/>
        <item x="1"/>
        <item x="2"/>
        <item x="3"/>
        <item x="4"/>
        <item x="5"/>
        <item x="6"/>
        <item x="7"/>
        <item x="8"/>
        <item x="9"/>
        <item x="10"/>
        <item t="default"/>
      </items>
    </pivotField>
    <pivotField showAll="0"/>
    <pivotField showAll="0"/>
    <pivotField numFmtId="2" showAll="0"/>
    <pivotField numFmtId="2" showAll="0"/>
    <pivotField numFmtId="2" showAll="0"/>
    <pivotField showAll="0"/>
    <pivotField dataField="1" showAll="0"/>
  </pivotFields>
  <rowFields count="1">
    <field x="1"/>
  </rowFields>
  <rowItems count="12">
    <i>
      <x/>
    </i>
    <i>
      <x v="1"/>
    </i>
    <i>
      <x v="2"/>
    </i>
    <i>
      <x v="3"/>
    </i>
    <i>
      <x v="4"/>
    </i>
    <i>
      <x v="5"/>
    </i>
    <i>
      <x v="6"/>
    </i>
    <i>
      <x v="7"/>
    </i>
    <i>
      <x v="8"/>
    </i>
    <i>
      <x v="9"/>
    </i>
    <i>
      <x v="10"/>
    </i>
    <i t="grand">
      <x/>
    </i>
  </rowItems>
  <colItems count="1">
    <i/>
  </colItems>
  <dataFields count="1">
    <dataField name="Sum of Internet_Access_%" fld="8" baseField="0" baseItem="0"/>
  </dataFields>
  <formats count="12">
    <format dxfId="118">
      <pivotArea type="all" dataOnly="0" outline="0" fieldPosition="0"/>
    </format>
    <format dxfId="117">
      <pivotArea outline="0" collapsedLevelsAreSubtotals="1" fieldPosition="0"/>
    </format>
    <format dxfId="116">
      <pivotArea field="1" type="button" dataOnly="0" labelOnly="1" outline="0" axis="axisRow" fieldPosition="0"/>
    </format>
    <format dxfId="115">
      <pivotArea dataOnly="0" labelOnly="1" fieldPosition="0">
        <references count="1">
          <reference field="1" count="0"/>
        </references>
      </pivotArea>
    </format>
    <format dxfId="114">
      <pivotArea dataOnly="0" labelOnly="1" grandRow="1" outline="0" fieldPosition="0"/>
    </format>
    <format dxfId="113">
      <pivotArea dataOnly="0" labelOnly="1" outline="0" axis="axisValues" fieldPosition="0"/>
    </format>
    <format dxfId="61">
      <pivotArea type="all" dataOnly="0" outline="0" fieldPosition="0"/>
    </format>
    <format dxfId="54">
      <pivotArea outline="0" collapsedLevelsAreSubtotals="1" fieldPosition="0"/>
    </format>
    <format dxfId="53">
      <pivotArea field="1" type="button" dataOnly="0" labelOnly="1" outline="0" axis="axisRow" fieldPosition="0"/>
    </format>
    <format dxfId="52">
      <pivotArea dataOnly="0" labelOnly="1" fieldPosition="0">
        <references count="1">
          <reference field="1" count="0"/>
        </references>
      </pivotArea>
    </format>
    <format dxfId="51">
      <pivotArea dataOnly="0" labelOnly="1" grandRow="1" outline="0" fieldPosition="0"/>
    </format>
    <format dxfId="50">
      <pivotArea dataOnly="0" labelOnly="1" outline="0" axis="axisValues"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DA4C67-247B-44C6-8925-28DB1B3661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14" firstHeaderRow="0" firstDataRow="1" firstDataCol="1"/>
  <pivotFields count="9">
    <pivotField axis="axisRow" showAll="0">
      <items count="11">
        <item x="6"/>
        <item x="1"/>
        <item x="3"/>
        <item x="5"/>
        <item x="8"/>
        <item x="2"/>
        <item x="0"/>
        <item x="4"/>
        <item x="9"/>
        <item x="7"/>
        <item t="default"/>
      </items>
    </pivotField>
    <pivotField showAll="0"/>
    <pivotField showAll="0"/>
    <pivotField showAll="0"/>
    <pivotField numFmtId="2" showAll="0"/>
    <pivotField numFmtId="2" showAll="0"/>
    <pivotField dataField="1" numFmtId="2" showAll="0"/>
    <pivotField dataField="1" showAll="0"/>
    <pivotField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Average_Temperature_C" fld="6" baseField="0" baseItem="0" numFmtId="2"/>
    <dataField name="Sum of Annual_Rainfall_mm" fld="7" baseField="0" baseItem="0"/>
  </dataFields>
  <formats count="12">
    <format dxfId="111">
      <pivotArea type="all" dataOnly="0" outline="0" fieldPosition="0"/>
    </format>
    <format dxfId="110">
      <pivotArea outline="0" collapsedLevelsAreSubtotals="1" fieldPosition="0"/>
    </format>
    <format dxfId="109">
      <pivotArea field="0" type="button" dataOnly="0" labelOnly="1" outline="0" axis="axisRow" fieldPosition="0"/>
    </format>
    <format dxfId="108">
      <pivotArea dataOnly="0" labelOnly="1" fieldPosition="0">
        <references count="1">
          <reference field="0" count="0"/>
        </references>
      </pivotArea>
    </format>
    <format dxfId="107">
      <pivotArea dataOnly="0" labelOnly="1" grandRow="1" outline="0" fieldPosition="0"/>
    </format>
    <format dxfId="106">
      <pivotArea dataOnly="0" labelOnly="1" outline="0" fieldPosition="0">
        <references count="1">
          <reference field="4294967294" count="2">
            <x v="0"/>
            <x v="1"/>
          </reference>
        </references>
      </pivotArea>
    </format>
    <format dxfId="48">
      <pivotArea type="all" dataOnly="0" outline="0" fieldPosition="0"/>
    </format>
    <format dxfId="41">
      <pivotArea outline="0" collapsedLevelsAreSubtotals="1" fieldPosition="0"/>
    </format>
    <format dxfId="40">
      <pivotArea field="0" type="button" dataOnly="0" labelOnly="1" outline="0" axis="axisRow" fieldPosition="0"/>
    </format>
    <format dxfId="39">
      <pivotArea dataOnly="0" labelOnly="1" fieldPosition="0">
        <references count="1">
          <reference field="0" count="0"/>
        </references>
      </pivotArea>
    </format>
    <format dxfId="38">
      <pivotArea dataOnly="0" labelOnly="1" grandRow="1" outline="0" fieldPosition="0"/>
    </format>
    <format dxfId="37">
      <pivotArea dataOnly="0" labelOnly="1" outline="0" fieldPosition="0">
        <references count="1">
          <reference field="4294967294" count="2">
            <x v="0"/>
            <x v="1"/>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0F4EF1-14DA-457B-872E-FD35761DF4B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5" firstHeaderRow="1" firstDataRow="1" firstDataCol="1"/>
  <pivotFields count="9">
    <pivotField showAll="0"/>
    <pivotField axis="axisRow" showAll="0">
      <items count="12">
        <item x="0"/>
        <item x="1"/>
        <item x="2"/>
        <item x="3"/>
        <item x="4"/>
        <item x="5"/>
        <item x="6"/>
        <item x="7"/>
        <item x="8"/>
        <item x="9"/>
        <item x="10"/>
        <item t="default"/>
      </items>
    </pivotField>
    <pivotField showAll="0"/>
    <pivotField dataField="1" showAll="0">
      <items count="92">
        <item x="67"/>
        <item x="65"/>
        <item x="28"/>
        <item x="66"/>
        <item x="30"/>
        <item x="35"/>
        <item x="72"/>
        <item x="29"/>
        <item x="46"/>
        <item x="71"/>
        <item x="37"/>
        <item x="32"/>
        <item x="64"/>
        <item x="36"/>
        <item x="33"/>
        <item x="41"/>
        <item x="43"/>
        <item x="31"/>
        <item x="69"/>
        <item x="34"/>
        <item x="39"/>
        <item x="45"/>
        <item x="70"/>
        <item x="88"/>
        <item x="42"/>
        <item x="79"/>
        <item x="83"/>
        <item x="90"/>
        <item x="68"/>
        <item x="86"/>
        <item x="44"/>
        <item x="87"/>
        <item x="40"/>
        <item x="84"/>
        <item x="80"/>
        <item x="38"/>
        <item x="85"/>
        <item x="74"/>
        <item x="89"/>
        <item x="82"/>
        <item x="73"/>
        <item x="76"/>
        <item x="78"/>
        <item x="77"/>
        <item x="75"/>
        <item x="81"/>
        <item x="59"/>
        <item x="63"/>
        <item x="26"/>
        <item x="22"/>
        <item x="60"/>
        <item x="2"/>
        <item x="58"/>
        <item x="62"/>
        <item x="6"/>
        <item x="23"/>
        <item x="0"/>
        <item x="56"/>
        <item x="57"/>
        <item x="61"/>
        <item x="1"/>
        <item x="20"/>
        <item x="5"/>
        <item x="7"/>
        <item x="17"/>
        <item x="8"/>
        <item x="21"/>
        <item x="27"/>
        <item x="10"/>
        <item x="14"/>
        <item x="19"/>
        <item x="47"/>
        <item x="25"/>
        <item x="24"/>
        <item x="9"/>
        <item x="54"/>
        <item x="16"/>
        <item x="4"/>
        <item x="49"/>
        <item x="12"/>
        <item x="13"/>
        <item x="18"/>
        <item x="53"/>
        <item x="15"/>
        <item x="51"/>
        <item x="11"/>
        <item x="50"/>
        <item x="48"/>
        <item x="52"/>
        <item x="55"/>
        <item x="3"/>
        <item t="default"/>
      </items>
    </pivotField>
    <pivotField numFmtId="2" showAll="0"/>
    <pivotField numFmtId="2" showAll="0"/>
    <pivotField numFmtId="2"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Sum of Secondary_Education_%" fld="3" baseField="1" baseItem="1"/>
  </dataFields>
  <formats count="12">
    <format dxfId="105">
      <pivotArea type="all" dataOnly="0" outline="0" fieldPosition="0"/>
    </format>
    <format dxfId="104">
      <pivotArea outline="0" collapsedLevelsAreSubtotals="1" fieldPosition="0"/>
    </format>
    <format dxfId="103">
      <pivotArea field="1" type="button" dataOnly="0" labelOnly="1" outline="0" axis="axisRow" fieldPosition="0"/>
    </format>
    <format dxfId="102">
      <pivotArea dataOnly="0" labelOnly="1" fieldPosition="0">
        <references count="1">
          <reference field="1" count="0"/>
        </references>
      </pivotArea>
    </format>
    <format dxfId="101">
      <pivotArea dataOnly="0" labelOnly="1" grandRow="1" outline="0" fieldPosition="0"/>
    </format>
    <format dxfId="100">
      <pivotArea dataOnly="0" labelOnly="1" outline="0" axis="axisValues" fieldPosition="0"/>
    </format>
    <format dxfId="36">
      <pivotArea type="all" dataOnly="0" outline="0" fieldPosition="0"/>
    </format>
    <format dxfId="29">
      <pivotArea outline="0" collapsedLevelsAreSubtotals="1" fieldPosition="0"/>
    </format>
    <format dxfId="28">
      <pivotArea field="1" type="button" dataOnly="0" labelOnly="1" outline="0" axis="axisRow" fieldPosition="0"/>
    </format>
    <format dxfId="27">
      <pivotArea dataOnly="0" labelOnly="1" fieldPosition="0">
        <references count="1">
          <reference field="1" count="0"/>
        </references>
      </pivotArea>
    </format>
    <format dxfId="26">
      <pivotArea dataOnly="0" labelOnly="1" grandRow="1" outline="0" fieldPosition="0"/>
    </format>
    <format dxfId="25">
      <pivotArea dataOnly="0" labelOnly="1" outline="0" axis="axisValues"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73FDDD-BFE3-49B8-B94C-3BB32006D6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B14" firstHeaderRow="1" firstDataRow="1" firstDataCol="1"/>
  <pivotFields count="9">
    <pivotField axis="axisRow" showAll="0">
      <items count="11">
        <item x="6"/>
        <item x="1"/>
        <item x="3"/>
        <item x="5"/>
        <item x="8"/>
        <item x="2"/>
        <item x="0"/>
        <item x="4"/>
        <item x="9"/>
        <item x="7"/>
        <item t="default"/>
      </items>
    </pivotField>
    <pivotField showAll="0"/>
    <pivotField dataField="1" showAll="0">
      <items count="111">
        <item x="22"/>
        <item x="23"/>
        <item x="24"/>
        <item x="26"/>
        <item x="25"/>
        <item x="28"/>
        <item x="27"/>
        <item x="55"/>
        <item x="56"/>
        <item x="31"/>
        <item x="57"/>
        <item x="32"/>
        <item x="0"/>
        <item x="59"/>
        <item x="30"/>
        <item x="1"/>
        <item x="60"/>
        <item x="61"/>
        <item x="58"/>
        <item x="2"/>
        <item x="4"/>
        <item x="62"/>
        <item x="29"/>
        <item x="3"/>
        <item x="5"/>
        <item x="8"/>
        <item x="6"/>
        <item x="10"/>
        <item x="63"/>
        <item x="64"/>
        <item x="9"/>
        <item x="7"/>
        <item x="65"/>
        <item x="88"/>
        <item x="89"/>
        <item x="90"/>
        <item x="91"/>
        <item x="92"/>
        <item x="94"/>
        <item x="96"/>
        <item x="93"/>
        <item x="95"/>
        <item x="97"/>
        <item x="99"/>
        <item x="100"/>
        <item x="102"/>
        <item x="101"/>
        <item x="98"/>
        <item x="105"/>
        <item x="103"/>
        <item x="104"/>
        <item x="106"/>
        <item x="107"/>
        <item x="66"/>
        <item x="67"/>
        <item x="108"/>
        <item x="69"/>
        <item x="68"/>
        <item x="109"/>
        <item x="71"/>
        <item x="11"/>
        <item x="70"/>
        <item x="12"/>
        <item x="72"/>
        <item x="13"/>
        <item x="77"/>
        <item x="14"/>
        <item x="74"/>
        <item x="78"/>
        <item x="79"/>
        <item x="44"/>
        <item x="80"/>
        <item x="17"/>
        <item x="73"/>
        <item x="33"/>
        <item x="16"/>
        <item x="34"/>
        <item x="45"/>
        <item x="15"/>
        <item x="76"/>
        <item x="81"/>
        <item x="46"/>
        <item x="48"/>
        <item x="85"/>
        <item x="21"/>
        <item x="35"/>
        <item x="75"/>
        <item x="36"/>
        <item x="38"/>
        <item x="47"/>
        <item x="37"/>
        <item x="18"/>
        <item x="49"/>
        <item x="19"/>
        <item x="82"/>
        <item x="84"/>
        <item x="20"/>
        <item x="40"/>
        <item x="42"/>
        <item x="50"/>
        <item x="83"/>
        <item x="53"/>
        <item x="51"/>
        <item x="39"/>
        <item x="87"/>
        <item x="86"/>
        <item x="54"/>
        <item x="52"/>
        <item x="41"/>
        <item x="43"/>
        <item t="default"/>
      </items>
    </pivotField>
    <pivotField showAll="0"/>
    <pivotField numFmtId="2" showAll="0"/>
    <pivotField numFmtId="2" showAll="0"/>
    <pivotField numFmtId="2"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Population" fld="2" baseField="0" baseItem="0"/>
  </dataFields>
  <formats count="12">
    <format dxfId="98">
      <pivotArea type="all" dataOnly="0" outline="0" fieldPosition="0"/>
    </format>
    <format dxfId="97">
      <pivotArea outline="0" collapsedLevelsAreSubtotals="1" fieldPosition="0"/>
    </format>
    <format dxfId="96">
      <pivotArea field="0" type="button" dataOnly="0" labelOnly="1" outline="0" axis="axisRow" fieldPosition="0"/>
    </format>
    <format dxfId="95">
      <pivotArea dataOnly="0" labelOnly="1" fieldPosition="0">
        <references count="1">
          <reference field="0" count="0"/>
        </references>
      </pivotArea>
    </format>
    <format dxfId="94">
      <pivotArea dataOnly="0" labelOnly="1" grandRow="1" outline="0" fieldPosition="0"/>
    </format>
    <format dxfId="93">
      <pivotArea dataOnly="0" labelOnly="1" outline="0" axis="axisValues" fieldPosition="0"/>
    </format>
    <format dxfId="23">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axis="axisValues" fieldPosition="0"/>
    </format>
  </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 xr10:uid="{62DBF9C8-BA83-441E-B22C-DA142AC1A5D0}" sourceName="County">
  <pivotTables>
    <pivotTable tabId="3" name="PivotTable1"/>
    <pivotTable tabId="3" name="PivotTable3"/>
  </pivotTables>
  <data>
    <tabular pivotCacheId="304524780">
      <items count="10">
        <i x="6" s="1"/>
        <i x="1" s="1"/>
        <i x="3" s="1"/>
        <i x="5" s="1"/>
        <i x="8" s="1"/>
        <i x="2" s="1"/>
        <i x="0" s="1"/>
        <i x="4" s="1"/>
        <i x="9"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8EE1424-C5ED-46A3-BB47-81DBB85E1CD4}" sourceName="Year">
  <pivotTables>
    <pivotTable tabId="3" name="PivotTable2"/>
    <pivotTable tabId="3" name="PivotTable4"/>
  </pivotTables>
  <data>
    <tabular pivotCacheId="304524780">
      <items count="1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xr10:uid="{385FFCF4-E8A1-4356-87B1-E8E2F860E9A9}" cache="Slicer_County" caption="County" style="SlicerStyleOther1" rowHeight="241300"/>
  <slicer name="Year" xr10:uid="{5045FDD8-E437-4A54-AAC3-E8D2E6BC71D6}" cache="Slicer_Year" caption="Year"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B71462-4F4B-4126-83EC-6BB579A8F2D8}" name="Table1" displayName="Table1" ref="A2:I112" totalsRowShown="0" headerRowDxfId="1" dataDxfId="0" headerRowBorderDxfId="120" tableBorderDxfId="119">
  <autoFilter ref="A2:I112" xr:uid="{8AB71462-4F4B-4126-83EC-6BB579A8F2D8}"/>
  <tableColumns count="9">
    <tableColumn id="1" xr3:uid="{2AFB6189-64D0-45B9-A33C-462B7AFC29EA}" name="County" dataDxfId="10"/>
    <tableColumn id="2" xr3:uid="{F3A06D9F-FE7C-49EF-B205-AF3B1D6F9775}" name="Year" dataDxfId="9"/>
    <tableColumn id="3" xr3:uid="{B5FA2A12-2BB3-4D06-BCDA-CABC50970C88}" name="Population" dataDxfId="8"/>
    <tableColumn id="4" xr3:uid="{493DE727-55D6-4E2C-BF3C-8B740B45B2E8}" name="Secondary_Education_%" dataDxfId="7"/>
    <tableColumn id="5" xr3:uid="{A639FAA4-FE05-4D30-A200-C8DEB69CB7AE}" name="Literacy_Rate_%" dataDxfId="6"/>
    <tableColumn id="6" xr3:uid="{0D51CC0C-29CF-4F27-9BA7-786C6CE5A36E}" name="Unemployment_Rate_%" dataDxfId="5"/>
    <tableColumn id="7" xr3:uid="{BA74FBF6-3DDB-4C5E-AD75-EA16E68622A5}" name="Average_Temperature_C" dataDxfId="4"/>
    <tableColumn id="8" xr3:uid="{81182547-4D52-4D31-9B48-98F382069555}" name="Annual_Rainfall_mm" dataDxfId="3"/>
    <tableColumn id="9" xr3:uid="{E693AC8E-0C1A-485F-A77E-A3962CDFA925}" name="Internet_Access_%" dataDxfId="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E4A385-02F7-4579-BE9A-FE0D570AB526}" name="Table2" displayName="Table2" ref="A3:I14" totalsRowShown="0">
  <autoFilter ref="A3:I14" xr:uid="{2BE4A385-02F7-4579-BE9A-FE0D570AB526}"/>
  <tableColumns count="9">
    <tableColumn id="1" xr3:uid="{DB8A11AC-AFBB-4A96-AA08-1DBDD4CD0AA1}" name="County"/>
    <tableColumn id="2" xr3:uid="{A14C6323-BA77-47F1-80D5-324B4E874445}" name="Year"/>
    <tableColumn id="3" xr3:uid="{D182AA05-0968-46FF-919A-4C4405E37292}" name="Population"/>
    <tableColumn id="4" xr3:uid="{78B8876A-FC24-42C1-B70A-604A98B135D8}" name="Secondary_Education_%"/>
    <tableColumn id="5" xr3:uid="{7E42E241-A5BA-4A3A-9E87-6D009A21B639}" name="Literacy_Rate_%"/>
    <tableColumn id="6" xr3:uid="{91ED3D08-4872-4726-B96D-329846711B27}" name="Unemployment_Rate_%"/>
    <tableColumn id="7" xr3:uid="{2A16F955-B55D-455B-B184-AD495043A0E6}" name="Average_Temperature_C"/>
    <tableColumn id="8" xr3:uid="{9F429498-E119-4A55-A7A2-156B308E380A}" name="Annual_Rainfall_mm"/>
    <tableColumn id="9" xr3:uid="{8D8562C0-231C-498D-AD6F-0F92645EA2B6}" name="Internet_Access_%"/>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1"/>
  <sheetViews>
    <sheetView workbookViewId="0">
      <selection activeCell="C122" sqref="C122"/>
    </sheetView>
  </sheetViews>
  <sheetFormatPr defaultRowHeight="14.5" x14ac:dyDescent="0.35"/>
  <cols>
    <col min="4" max="4" width="3.26953125" customWidth="1"/>
    <col min="5" max="5" width="17" customWidth="1"/>
  </cols>
  <sheetData>
    <row r="1" spans="1:9" x14ac:dyDescent="0.35">
      <c r="A1" s="1" t="s">
        <v>0</v>
      </c>
      <c r="B1" s="1" t="s">
        <v>1</v>
      </c>
      <c r="C1" s="1" t="s">
        <v>2</v>
      </c>
      <c r="D1" s="1" t="s">
        <v>3</v>
      </c>
      <c r="E1" s="1" t="s">
        <v>4</v>
      </c>
      <c r="F1" s="1" t="s">
        <v>5</v>
      </c>
      <c r="G1" s="1" t="s">
        <v>6</v>
      </c>
      <c r="H1" s="1" t="s">
        <v>7</v>
      </c>
      <c r="I1" s="1" t="s">
        <v>8</v>
      </c>
    </row>
    <row r="2" spans="1:9" x14ac:dyDescent="0.35">
      <c r="A2" t="s">
        <v>9</v>
      </c>
      <c r="B2">
        <v>2015</v>
      </c>
      <c r="C2">
        <v>773343</v>
      </c>
      <c r="D2">
        <v>69.099999999999994</v>
      </c>
      <c r="E2">
        <v>79.900000000000006</v>
      </c>
      <c r="F2">
        <v>15.8</v>
      </c>
      <c r="G2">
        <v>26.5</v>
      </c>
      <c r="H2">
        <v>1270</v>
      </c>
      <c r="I2">
        <v>27.2</v>
      </c>
    </row>
    <row r="3" spans="1:9" x14ac:dyDescent="0.35">
      <c r="A3" t="s">
        <v>9</v>
      </c>
      <c r="B3">
        <v>2016</v>
      </c>
      <c r="C3">
        <v>802240</v>
      </c>
      <c r="D3">
        <v>70.599999999999994</v>
      </c>
      <c r="E3">
        <v>76.599999999999994</v>
      </c>
      <c r="F3">
        <v>11</v>
      </c>
      <c r="G3">
        <v>22.6</v>
      </c>
      <c r="H3">
        <v>1403</v>
      </c>
      <c r="I3">
        <v>43.4</v>
      </c>
    </row>
    <row r="4" spans="1:9" x14ac:dyDescent="0.35">
      <c r="A4" t="s">
        <v>9</v>
      </c>
      <c r="B4">
        <v>2017</v>
      </c>
      <c r="C4">
        <v>828192</v>
      </c>
      <c r="D4">
        <v>68.3</v>
      </c>
      <c r="E4">
        <v>80.2</v>
      </c>
      <c r="F4">
        <v>15.2</v>
      </c>
      <c r="G4">
        <v>30.6</v>
      </c>
      <c r="H4">
        <v>1502</v>
      </c>
      <c r="I4">
        <v>49.4</v>
      </c>
    </row>
    <row r="5" spans="1:9" x14ac:dyDescent="0.35">
      <c r="A5" t="s">
        <v>9</v>
      </c>
      <c r="B5">
        <v>2018</v>
      </c>
      <c r="C5">
        <v>875658</v>
      </c>
      <c r="E5">
        <v>79.099999999999994</v>
      </c>
      <c r="F5">
        <v>15.3</v>
      </c>
      <c r="G5">
        <v>26.7</v>
      </c>
      <c r="H5">
        <v>1418</v>
      </c>
      <c r="I5">
        <v>53.3</v>
      </c>
    </row>
    <row r="6" spans="1:9" x14ac:dyDescent="0.35">
      <c r="A6" t="s">
        <v>9</v>
      </c>
      <c r="B6">
        <v>2019</v>
      </c>
      <c r="C6">
        <v>836082</v>
      </c>
      <c r="E6">
        <v>74.5</v>
      </c>
      <c r="F6">
        <v>11</v>
      </c>
      <c r="G6">
        <v>24.5</v>
      </c>
      <c r="H6">
        <v>1606</v>
      </c>
      <c r="I6">
        <v>64.400000000000006</v>
      </c>
    </row>
    <row r="7" spans="1:9" x14ac:dyDescent="0.35">
      <c r="A7" t="s">
        <v>9</v>
      </c>
      <c r="B7">
        <v>2020</v>
      </c>
      <c r="C7">
        <v>881527</v>
      </c>
      <c r="D7">
        <v>76.5</v>
      </c>
      <c r="E7">
        <v>82.5</v>
      </c>
      <c r="F7">
        <v>17</v>
      </c>
      <c r="G7">
        <v>30.5</v>
      </c>
      <c r="H7">
        <v>1583</v>
      </c>
      <c r="I7">
        <v>31.3</v>
      </c>
    </row>
    <row r="8" spans="1:9" x14ac:dyDescent="0.35">
      <c r="A8" t="s">
        <v>9</v>
      </c>
      <c r="B8">
        <v>2021</v>
      </c>
      <c r="C8">
        <v>912689</v>
      </c>
      <c r="D8">
        <v>71.099999999999994</v>
      </c>
      <c r="E8">
        <v>78</v>
      </c>
      <c r="F8">
        <v>8.9</v>
      </c>
      <c r="G8">
        <v>26</v>
      </c>
      <c r="H8">
        <v>1279</v>
      </c>
      <c r="I8">
        <v>81.2</v>
      </c>
    </row>
    <row r="9" spans="1:9" x14ac:dyDescent="0.35">
      <c r="A9" t="s">
        <v>9</v>
      </c>
      <c r="B9">
        <v>2022</v>
      </c>
      <c r="C9">
        <v>1040422</v>
      </c>
      <c r="D9">
        <v>68.7</v>
      </c>
      <c r="E9">
        <v>79.099999999999994</v>
      </c>
      <c r="F9">
        <v>8.1</v>
      </c>
      <c r="G9">
        <v>22.3</v>
      </c>
      <c r="H9">
        <v>1302</v>
      </c>
      <c r="I9">
        <v>25.3</v>
      </c>
    </row>
    <row r="10" spans="1:9" x14ac:dyDescent="0.35">
      <c r="A10" t="s">
        <v>9</v>
      </c>
      <c r="B10">
        <v>2023</v>
      </c>
      <c r="C10">
        <v>887765</v>
      </c>
      <c r="D10">
        <v>71.5</v>
      </c>
      <c r="E10">
        <v>79.2</v>
      </c>
      <c r="F10">
        <v>13</v>
      </c>
      <c r="G10">
        <v>29.3</v>
      </c>
      <c r="H10">
        <v>1532</v>
      </c>
      <c r="I10">
        <v>83.1</v>
      </c>
    </row>
    <row r="11" spans="1:9" x14ac:dyDescent="0.35">
      <c r="A11" t="s">
        <v>9</v>
      </c>
      <c r="B11">
        <v>2024</v>
      </c>
      <c r="C11">
        <v>1004442</v>
      </c>
      <c r="D11">
        <v>72</v>
      </c>
      <c r="E11">
        <v>81.7</v>
      </c>
      <c r="F11">
        <v>8</v>
      </c>
      <c r="G11">
        <v>29.7</v>
      </c>
      <c r="H11">
        <v>1257</v>
      </c>
      <c r="I11">
        <v>52.3</v>
      </c>
    </row>
    <row r="12" spans="1:9" x14ac:dyDescent="0.35">
      <c r="A12" t="s">
        <v>9</v>
      </c>
      <c r="B12">
        <v>2025</v>
      </c>
      <c r="C12">
        <v>942459</v>
      </c>
      <c r="E12">
        <v>79.3</v>
      </c>
      <c r="F12">
        <v>17.600000000000001</v>
      </c>
      <c r="G12">
        <v>18.5</v>
      </c>
      <c r="H12">
        <v>1189</v>
      </c>
      <c r="I12">
        <v>53.5</v>
      </c>
    </row>
    <row r="13" spans="1:9" x14ac:dyDescent="0.35">
      <c r="A13" t="s">
        <v>10</v>
      </c>
      <c r="B13">
        <v>2015</v>
      </c>
      <c r="C13">
        <v>4309085</v>
      </c>
      <c r="D13">
        <v>75.400000000000006</v>
      </c>
      <c r="E13">
        <v>83.5</v>
      </c>
      <c r="F13">
        <v>12</v>
      </c>
      <c r="G13">
        <v>27.4</v>
      </c>
      <c r="H13">
        <v>888</v>
      </c>
      <c r="I13">
        <v>70.400000000000006</v>
      </c>
    </row>
    <row r="14" spans="1:9" x14ac:dyDescent="0.35">
      <c r="A14" t="s">
        <v>10</v>
      </c>
      <c r="B14">
        <v>2016</v>
      </c>
      <c r="C14">
        <v>4393581</v>
      </c>
      <c r="D14">
        <v>73.400000000000006</v>
      </c>
      <c r="E14">
        <v>83.2</v>
      </c>
      <c r="F14">
        <v>13.4</v>
      </c>
      <c r="G14">
        <v>26.4</v>
      </c>
      <c r="I14">
        <v>62.4</v>
      </c>
    </row>
    <row r="15" spans="1:9" x14ac:dyDescent="0.35">
      <c r="A15" t="s">
        <v>10</v>
      </c>
      <c r="B15">
        <v>2017</v>
      </c>
      <c r="C15">
        <v>4517418</v>
      </c>
      <c r="D15">
        <v>79.5</v>
      </c>
      <c r="E15">
        <v>86.5</v>
      </c>
      <c r="F15">
        <v>9</v>
      </c>
      <c r="G15">
        <v>19.2</v>
      </c>
      <c r="H15">
        <v>790</v>
      </c>
      <c r="I15">
        <v>84.4</v>
      </c>
    </row>
    <row r="16" spans="1:9" x14ac:dyDescent="0.35">
      <c r="A16" t="s">
        <v>10</v>
      </c>
      <c r="B16">
        <v>2018</v>
      </c>
      <c r="C16">
        <v>4620944</v>
      </c>
      <c r="D16">
        <v>77.7</v>
      </c>
      <c r="E16">
        <v>86.9</v>
      </c>
      <c r="F16">
        <v>7.7</v>
      </c>
      <c r="G16">
        <v>30</v>
      </c>
      <c r="H16">
        <v>583</v>
      </c>
      <c r="I16">
        <v>89.1</v>
      </c>
    </row>
    <row r="17" spans="1:9" x14ac:dyDescent="0.35">
      <c r="A17" t="s">
        <v>10</v>
      </c>
      <c r="B17">
        <v>2019</v>
      </c>
      <c r="C17">
        <v>5130569</v>
      </c>
      <c r="D17">
        <v>77.8</v>
      </c>
      <c r="E17">
        <v>89.5</v>
      </c>
      <c r="F17">
        <v>9.6999999999999993</v>
      </c>
      <c r="G17">
        <v>29.2</v>
      </c>
      <c r="H17">
        <v>869</v>
      </c>
      <c r="I17">
        <v>70.2</v>
      </c>
    </row>
    <row r="18" spans="1:9" x14ac:dyDescent="0.35">
      <c r="A18" t="s">
        <v>10</v>
      </c>
      <c r="B18">
        <v>2020</v>
      </c>
      <c r="C18">
        <v>5035931</v>
      </c>
      <c r="D18">
        <v>73.7</v>
      </c>
      <c r="E18">
        <v>83.1</v>
      </c>
      <c r="F18">
        <v>10.4</v>
      </c>
      <c r="G18">
        <v>26.2</v>
      </c>
      <c r="H18">
        <v>592</v>
      </c>
      <c r="I18">
        <v>52.6</v>
      </c>
    </row>
    <row r="19" spans="1:9" x14ac:dyDescent="0.35">
      <c r="A19" t="s">
        <v>10</v>
      </c>
      <c r="B19">
        <v>2021</v>
      </c>
      <c r="C19">
        <v>4881122</v>
      </c>
      <c r="D19">
        <v>78.7</v>
      </c>
      <c r="E19">
        <v>89.5</v>
      </c>
      <c r="F19">
        <v>15.6</v>
      </c>
      <c r="G19">
        <v>22.5</v>
      </c>
      <c r="H19">
        <v>669</v>
      </c>
      <c r="I19">
        <v>54.7</v>
      </c>
    </row>
    <row r="20" spans="1:9" x14ac:dyDescent="0.35">
      <c r="A20" t="s">
        <v>10</v>
      </c>
      <c r="B20">
        <v>2022</v>
      </c>
      <c r="C20">
        <v>5514031</v>
      </c>
      <c r="D20">
        <v>76.099999999999994</v>
      </c>
      <c r="E20">
        <v>82.9</v>
      </c>
      <c r="F20">
        <v>12.1</v>
      </c>
      <c r="G20">
        <v>23.7</v>
      </c>
      <c r="H20">
        <v>659</v>
      </c>
      <c r="I20">
        <v>47.7</v>
      </c>
    </row>
    <row r="21" spans="1:9" x14ac:dyDescent="0.35">
      <c r="A21" t="s">
        <v>10</v>
      </c>
      <c r="B21">
        <v>2023</v>
      </c>
      <c r="C21">
        <v>5570505</v>
      </c>
      <c r="D21">
        <v>71.8</v>
      </c>
      <c r="E21">
        <v>79.400000000000006</v>
      </c>
      <c r="F21">
        <v>12.5</v>
      </c>
      <c r="G21">
        <v>27.4</v>
      </c>
      <c r="H21">
        <v>891</v>
      </c>
      <c r="I21">
        <v>36</v>
      </c>
    </row>
    <row r="22" spans="1:9" x14ac:dyDescent="0.35">
      <c r="A22" t="s">
        <v>10</v>
      </c>
      <c r="B22">
        <v>2024</v>
      </c>
      <c r="C22">
        <v>5764756</v>
      </c>
      <c r="D22">
        <v>78.3</v>
      </c>
      <c r="E22">
        <v>87.4</v>
      </c>
      <c r="F22">
        <v>9.6999999999999993</v>
      </c>
      <c r="G22">
        <v>26.5</v>
      </c>
      <c r="H22">
        <v>522</v>
      </c>
      <c r="I22">
        <v>73.099999999999994</v>
      </c>
    </row>
    <row r="23" spans="1:9" x14ac:dyDescent="0.35">
      <c r="A23" t="s">
        <v>10</v>
      </c>
      <c r="B23">
        <v>2025</v>
      </c>
      <c r="C23">
        <v>5255630</v>
      </c>
      <c r="D23">
        <v>72</v>
      </c>
      <c r="E23">
        <v>83.6</v>
      </c>
      <c r="F23">
        <v>15.5</v>
      </c>
      <c r="G23">
        <v>20.9</v>
      </c>
      <c r="H23">
        <v>866</v>
      </c>
      <c r="I23">
        <v>29.8</v>
      </c>
    </row>
    <row r="24" spans="1:9" x14ac:dyDescent="0.35">
      <c r="A24" t="s">
        <v>11</v>
      </c>
      <c r="B24">
        <v>2015</v>
      </c>
      <c r="C24">
        <v>634621</v>
      </c>
      <c r="D24">
        <v>73.900000000000006</v>
      </c>
      <c r="E24">
        <v>85.4</v>
      </c>
      <c r="F24">
        <v>8.3000000000000007</v>
      </c>
      <c r="G24">
        <v>25.3</v>
      </c>
      <c r="I24">
        <v>87.1</v>
      </c>
    </row>
    <row r="25" spans="1:9" x14ac:dyDescent="0.35">
      <c r="A25" t="s">
        <v>11</v>
      </c>
      <c r="B25">
        <v>2016</v>
      </c>
      <c r="C25">
        <v>645094</v>
      </c>
      <c r="D25">
        <v>70.7</v>
      </c>
      <c r="E25">
        <v>78.5</v>
      </c>
      <c r="F25">
        <v>16.3</v>
      </c>
      <c r="G25">
        <v>25.8</v>
      </c>
      <c r="H25">
        <v>699</v>
      </c>
      <c r="I25">
        <v>75.2</v>
      </c>
    </row>
    <row r="26" spans="1:9" x14ac:dyDescent="0.35">
      <c r="A26" t="s">
        <v>11</v>
      </c>
      <c r="B26">
        <v>2017</v>
      </c>
      <c r="C26">
        <v>660166</v>
      </c>
      <c r="D26">
        <v>72.2</v>
      </c>
      <c r="E26">
        <v>82.8</v>
      </c>
      <c r="F26">
        <v>12.4</v>
      </c>
      <c r="G26">
        <v>19.100000000000001</v>
      </c>
      <c r="H26">
        <v>836</v>
      </c>
      <c r="I26">
        <v>62.6</v>
      </c>
    </row>
    <row r="27" spans="1:9" x14ac:dyDescent="0.35">
      <c r="A27" t="s">
        <v>11</v>
      </c>
      <c r="B27">
        <v>2018</v>
      </c>
      <c r="C27">
        <v>706054</v>
      </c>
      <c r="D27">
        <v>71.099999999999994</v>
      </c>
      <c r="E27">
        <v>83</v>
      </c>
      <c r="F27">
        <v>14.7</v>
      </c>
      <c r="G27">
        <v>20.3</v>
      </c>
      <c r="H27">
        <v>1033</v>
      </c>
      <c r="I27">
        <v>52.5</v>
      </c>
    </row>
    <row r="28" spans="1:9" x14ac:dyDescent="0.35">
      <c r="A28" t="s">
        <v>11</v>
      </c>
      <c r="B28">
        <v>2019</v>
      </c>
      <c r="C28">
        <v>705016</v>
      </c>
      <c r="D28">
        <v>66</v>
      </c>
      <c r="E28">
        <v>71.3</v>
      </c>
      <c r="F28">
        <v>13.7</v>
      </c>
      <c r="G28">
        <v>29.2</v>
      </c>
      <c r="H28">
        <v>939</v>
      </c>
      <c r="I28">
        <v>66.2</v>
      </c>
    </row>
    <row r="29" spans="1:9" x14ac:dyDescent="0.35">
      <c r="A29" t="s">
        <v>11</v>
      </c>
      <c r="B29">
        <v>2020</v>
      </c>
      <c r="C29">
        <v>720841</v>
      </c>
      <c r="D29">
        <v>68.8</v>
      </c>
      <c r="E29">
        <v>74.2</v>
      </c>
      <c r="F29">
        <v>6.6</v>
      </c>
      <c r="G29">
        <v>22</v>
      </c>
      <c r="H29">
        <v>726</v>
      </c>
      <c r="I29">
        <v>28.2</v>
      </c>
    </row>
    <row r="30" spans="1:9" x14ac:dyDescent="0.35">
      <c r="A30" t="s">
        <v>11</v>
      </c>
      <c r="B30">
        <v>2021</v>
      </c>
      <c r="C30">
        <v>717074</v>
      </c>
      <c r="D30">
        <v>74.5</v>
      </c>
      <c r="E30">
        <v>83.7</v>
      </c>
      <c r="F30">
        <v>6.5</v>
      </c>
      <c r="G30">
        <v>23.6</v>
      </c>
      <c r="H30">
        <v>788</v>
      </c>
      <c r="I30">
        <v>74.400000000000006</v>
      </c>
    </row>
    <row r="31" spans="1:9" x14ac:dyDescent="0.35">
      <c r="A31" t="s">
        <v>11</v>
      </c>
      <c r="B31">
        <v>2022</v>
      </c>
      <c r="C31">
        <v>857282</v>
      </c>
      <c r="D31">
        <v>74.400000000000006</v>
      </c>
      <c r="E31">
        <v>79.7</v>
      </c>
      <c r="F31">
        <v>9.9</v>
      </c>
      <c r="G31">
        <v>28.8</v>
      </c>
      <c r="H31">
        <v>702</v>
      </c>
      <c r="I31">
        <v>62.8</v>
      </c>
    </row>
    <row r="32" spans="1:9" x14ac:dyDescent="0.35">
      <c r="A32" t="s">
        <v>11</v>
      </c>
      <c r="B32">
        <v>2023</v>
      </c>
      <c r="C32">
        <v>783903</v>
      </c>
      <c r="D32">
        <v>65.900000000000006</v>
      </c>
      <c r="E32">
        <v>71.7</v>
      </c>
      <c r="F32">
        <v>17.5</v>
      </c>
      <c r="G32">
        <v>19.399999999999999</v>
      </c>
      <c r="H32">
        <v>981</v>
      </c>
      <c r="I32">
        <v>66.5</v>
      </c>
    </row>
    <row r="33" spans="1:9" x14ac:dyDescent="0.35">
      <c r="A33" t="s">
        <v>11</v>
      </c>
      <c r="B33">
        <v>2024</v>
      </c>
      <c r="C33">
        <v>744967</v>
      </c>
      <c r="D33">
        <v>73.3</v>
      </c>
      <c r="E33">
        <v>81.599999999999994</v>
      </c>
      <c r="F33">
        <v>12.3</v>
      </c>
      <c r="G33">
        <v>21.2</v>
      </c>
      <c r="H33">
        <v>760</v>
      </c>
      <c r="I33">
        <v>25.8</v>
      </c>
    </row>
    <row r="34" spans="1:9" x14ac:dyDescent="0.35">
      <c r="A34" t="s">
        <v>11</v>
      </c>
      <c r="B34">
        <v>2025</v>
      </c>
      <c r="C34">
        <v>757870</v>
      </c>
      <c r="E34">
        <v>80.400000000000006</v>
      </c>
      <c r="F34">
        <v>11.7</v>
      </c>
      <c r="G34">
        <v>23.2</v>
      </c>
      <c r="H34">
        <v>723</v>
      </c>
      <c r="I34">
        <v>43.7</v>
      </c>
    </row>
    <row r="35" spans="1:9" x14ac:dyDescent="0.35">
      <c r="A35" t="s">
        <v>12</v>
      </c>
      <c r="B35">
        <v>2015</v>
      </c>
      <c r="C35">
        <v>4956406</v>
      </c>
      <c r="D35">
        <v>41.3</v>
      </c>
      <c r="E35">
        <v>49.3</v>
      </c>
      <c r="F35">
        <v>13.8</v>
      </c>
      <c r="G35">
        <v>28.8</v>
      </c>
      <c r="H35">
        <v>444</v>
      </c>
      <c r="I35">
        <v>72.3</v>
      </c>
    </row>
    <row r="36" spans="1:9" x14ac:dyDescent="0.35">
      <c r="A36" t="s">
        <v>12</v>
      </c>
      <c r="B36">
        <v>2016</v>
      </c>
      <c r="C36">
        <v>5056192</v>
      </c>
      <c r="D36">
        <v>43.1</v>
      </c>
      <c r="E36">
        <v>53.8</v>
      </c>
      <c r="F36">
        <v>9.5</v>
      </c>
      <c r="G36">
        <v>21.2</v>
      </c>
      <c r="H36">
        <v>479</v>
      </c>
      <c r="I36">
        <v>50.1</v>
      </c>
    </row>
    <row r="37" spans="1:9" x14ac:dyDescent="0.35">
      <c r="A37" t="s">
        <v>13</v>
      </c>
      <c r="B37">
        <v>2017</v>
      </c>
      <c r="C37">
        <v>5338478</v>
      </c>
      <c r="D37">
        <v>42.3</v>
      </c>
      <c r="E37">
        <v>53.2</v>
      </c>
      <c r="F37">
        <v>7.5</v>
      </c>
      <c r="G37">
        <v>26.9</v>
      </c>
      <c r="H37">
        <v>745</v>
      </c>
      <c r="I37">
        <v>88.6</v>
      </c>
    </row>
    <row r="38" spans="1:9" x14ac:dyDescent="0.35">
      <c r="A38" t="s">
        <v>13</v>
      </c>
      <c r="B38">
        <v>2018</v>
      </c>
      <c r="C38">
        <v>5384815</v>
      </c>
      <c r="D38">
        <v>47.6</v>
      </c>
      <c r="E38">
        <v>58.9</v>
      </c>
      <c r="F38">
        <v>13.5</v>
      </c>
      <c r="G38">
        <v>25.2</v>
      </c>
      <c r="H38">
        <v>380</v>
      </c>
      <c r="I38">
        <v>70.7</v>
      </c>
    </row>
    <row r="39" spans="1:9" x14ac:dyDescent="0.35">
      <c r="A39" t="s">
        <v>13</v>
      </c>
      <c r="B39">
        <v>2019</v>
      </c>
      <c r="C39">
        <v>5513019</v>
      </c>
      <c r="D39">
        <v>45.6</v>
      </c>
      <c r="E39">
        <v>55.6</v>
      </c>
      <c r="F39">
        <v>17.399999999999999</v>
      </c>
      <c r="G39">
        <v>26.7</v>
      </c>
      <c r="H39">
        <v>424</v>
      </c>
      <c r="I39">
        <v>42.2</v>
      </c>
    </row>
    <row r="40" spans="1:9" x14ac:dyDescent="0.35">
      <c r="A40" t="s">
        <v>13</v>
      </c>
      <c r="B40">
        <v>2020</v>
      </c>
      <c r="C40">
        <v>5401748</v>
      </c>
      <c r="D40">
        <v>46.2</v>
      </c>
      <c r="E40">
        <v>51.9</v>
      </c>
      <c r="F40">
        <v>7.7</v>
      </c>
      <c r="G40">
        <v>19.600000000000001</v>
      </c>
      <c r="I40">
        <v>65.2</v>
      </c>
    </row>
    <row r="41" spans="1:9" x14ac:dyDescent="0.35">
      <c r="A41" t="s">
        <v>13</v>
      </c>
      <c r="B41">
        <v>2021</v>
      </c>
      <c r="C41">
        <v>6380550</v>
      </c>
      <c r="D41">
        <v>46.2</v>
      </c>
      <c r="E41">
        <v>52.2</v>
      </c>
      <c r="F41">
        <v>16.5</v>
      </c>
      <c r="G41">
        <v>18.8</v>
      </c>
      <c r="H41">
        <v>381</v>
      </c>
      <c r="I41">
        <v>64.599999999999994</v>
      </c>
    </row>
    <row r="42" spans="1:9" x14ac:dyDescent="0.35">
      <c r="A42" t="s">
        <v>13</v>
      </c>
      <c r="B42">
        <v>2022</v>
      </c>
      <c r="C42">
        <v>5858454</v>
      </c>
      <c r="D42">
        <v>47.9</v>
      </c>
      <c r="E42">
        <v>58.9</v>
      </c>
      <c r="F42">
        <v>11</v>
      </c>
      <c r="G42">
        <v>22.9</v>
      </c>
      <c r="H42">
        <v>695</v>
      </c>
      <c r="I42">
        <v>71.099999999999994</v>
      </c>
    </row>
    <row r="43" spans="1:9" x14ac:dyDescent="0.35">
      <c r="A43" t="s">
        <v>13</v>
      </c>
      <c r="B43">
        <v>2023</v>
      </c>
      <c r="C43">
        <v>6894880</v>
      </c>
      <c r="D43">
        <v>42.4</v>
      </c>
      <c r="E43">
        <v>48.5</v>
      </c>
      <c r="F43">
        <v>10.8</v>
      </c>
      <c r="G43">
        <v>26.5</v>
      </c>
      <c r="H43">
        <v>711</v>
      </c>
      <c r="I43">
        <v>78.7</v>
      </c>
    </row>
    <row r="44" spans="1:9" x14ac:dyDescent="0.35">
      <c r="A44" t="s">
        <v>13</v>
      </c>
      <c r="B44">
        <v>2024</v>
      </c>
      <c r="C44">
        <v>5904734</v>
      </c>
      <c r="D44">
        <v>45.9</v>
      </c>
      <c r="E44">
        <v>54.2</v>
      </c>
      <c r="F44">
        <v>10.7</v>
      </c>
      <c r="G44">
        <v>21.6</v>
      </c>
      <c r="H44">
        <v>461</v>
      </c>
      <c r="I44">
        <v>57.2</v>
      </c>
    </row>
    <row r="45" spans="1:9" x14ac:dyDescent="0.35">
      <c r="A45" t="s">
        <v>13</v>
      </c>
      <c r="B45">
        <v>2025</v>
      </c>
      <c r="C45">
        <v>7381924</v>
      </c>
      <c r="D45">
        <v>44.8</v>
      </c>
      <c r="E45">
        <v>56.5</v>
      </c>
      <c r="F45">
        <v>16.7</v>
      </c>
      <c r="G45">
        <v>27.6</v>
      </c>
      <c r="H45">
        <v>515</v>
      </c>
      <c r="I45">
        <v>33.4</v>
      </c>
    </row>
    <row r="46" spans="1:9" x14ac:dyDescent="0.35">
      <c r="A46" t="s">
        <v>14</v>
      </c>
      <c r="B46">
        <v>2015</v>
      </c>
      <c r="C46">
        <v>4878022</v>
      </c>
      <c r="D46">
        <v>52.2</v>
      </c>
      <c r="E46">
        <v>62.1</v>
      </c>
      <c r="F46">
        <v>7</v>
      </c>
      <c r="G46">
        <v>18.5</v>
      </c>
      <c r="H46">
        <v>995</v>
      </c>
      <c r="I46">
        <v>89.4</v>
      </c>
    </row>
    <row r="47" spans="1:9" x14ac:dyDescent="0.35">
      <c r="A47" t="s">
        <v>14</v>
      </c>
      <c r="B47">
        <v>2016</v>
      </c>
      <c r="C47">
        <v>5073283</v>
      </c>
      <c r="D47">
        <v>52.2</v>
      </c>
      <c r="E47">
        <v>57.8</v>
      </c>
      <c r="F47">
        <v>14.7</v>
      </c>
      <c r="G47">
        <v>18.899999999999999</v>
      </c>
      <c r="H47">
        <v>1165</v>
      </c>
      <c r="I47">
        <v>77.5</v>
      </c>
    </row>
    <row r="48" spans="1:9" x14ac:dyDescent="0.35">
      <c r="A48" t="s">
        <v>14</v>
      </c>
      <c r="B48">
        <v>2017</v>
      </c>
      <c r="C48">
        <v>5214426</v>
      </c>
      <c r="D48">
        <v>48.4</v>
      </c>
      <c r="E48">
        <v>58.2</v>
      </c>
      <c r="F48">
        <v>12.5</v>
      </c>
      <c r="G48">
        <v>27.7</v>
      </c>
      <c r="H48">
        <v>1346</v>
      </c>
      <c r="I48">
        <v>35.200000000000003</v>
      </c>
    </row>
    <row r="49" spans="1:9" x14ac:dyDescent="0.35">
      <c r="A49" t="s">
        <v>14</v>
      </c>
      <c r="B49">
        <v>2018</v>
      </c>
      <c r="C49">
        <v>5417498</v>
      </c>
      <c r="D49">
        <v>51.2</v>
      </c>
      <c r="E49">
        <v>62.9</v>
      </c>
      <c r="F49">
        <v>10.6</v>
      </c>
      <c r="G49">
        <v>30.8</v>
      </c>
      <c r="H49">
        <v>1252</v>
      </c>
      <c r="I49">
        <v>72.400000000000006</v>
      </c>
    </row>
    <row r="50" spans="1:9" x14ac:dyDescent="0.35">
      <c r="A50" t="s">
        <v>14</v>
      </c>
      <c r="B50">
        <v>2019</v>
      </c>
      <c r="C50">
        <v>5221223</v>
      </c>
      <c r="D50">
        <v>47</v>
      </c>
      <c r="E50">
        <v>58.6</v>
      </c>
      <c r="F50">
        <v>7.1</v>
      </c>
      <c r="G50">
        <v>30.2</v>
      </c>
      <c r="H50">
        <v>1210</v>
      </c>
      <c r="I50">
        <v>36.6</v>
      </c>
    </row>
    <row r="51" spans="1:9" x14ac:dyDescent="0.35">
      <c r="A51" t="s">
        <v>14</v>
      </c>
      <c r="B51">
        <v>2020</v>
      </c>
      <c r="C51">
        <v>5519542</v>
      </c>
      <c r="D51">
        <v>48.9</v>
      </c>
      <c r="E51">
        <v>57.3</v>
      </c>
      <c r="F51">
        <v>7.9</v>
      </c>
      <c r="G51">
        <v>22.6</v>
      </c>
      <c r="H51">
        <v>980</v>
      </c>
      <c r="I51">
        <v>46.2</v>
      </c>
    </row>
    <row r="52" spans="1:9" x14ac:dyDescent="0.35">
      <c r="A52" t="s">
        <v>14</v>
      </c>
      <c r="B52">
        <v>2021</v>
      </c>
      <c r="C52">
        <v>5915174</v>
      </c>
      <c r="D52">
        <v>47.1</v>
      </c>
      <c r="E52">
        <v>53.3</v>
      </c>
      <c r="F52">
        <v>9.4</v>
      </c>
      <c r="G52">
        <v>28.7</v>
      </c>
      <c r="H52">
        <v>1407</v>
      </c>
      <c r="I52">
        <v>52.2</v>
      </c>
    </row>
    <row r="53" spans="1:9" x14ac:dyDescent="0.35">
      <c r="A53" t="s">
        <v>14</v>
      </c>
      <c r="B53">
        <v>2022</v>
      </c>
      <c r="C53">
        <v>6366813</v>
      </c>
      <c r="D53">
        <v>51.2</v>
      </c>
      <c r="E53">
        <v>62.9</v>
      </c>
      <c r="F53">
        <v>12.4</v>
      </c>
      <c r="G53">
        <v>24.8</v>
      </c>
      <c r="H53">
        <v>1348</v>
      </c>
      <c r="I53">
        <v>60.8</v>
      </c>
    </row>
    <row r="54" spans="1:9" x14ac:dyDescent="0.35">
      <c r="A54" t="s">
        <v>14</v>
      </c>
      <c r="B54">
        <v>2023</v>
      </c>
      <c r="C54">
        <v>6848854</v>
      </c>
      <c r="D54">
        <v>50.5</v>
      </c>
      <c r="E54">
        <v>61.2</v>
      </c>
      <c r="F54">
        <v>16.2</v>
      </c>
      <c r="G54">
        <v>23.1</v>
      </c>
      <c r="H54">
        <v>989</v>
      </c>
      <c r="I54">
        <v>53.9</v>
      </c>
    </row>
    <row r="55" spans="1:9" x14ac:dyDescent="0.35">
      <c r="A55" t="s">
        <v>14</v>
      </c>
      <c r="B55">
        <v>2024</v>
      </c>
      <c r="C55">
        <v>6231838</v>
      </c>
      <c r="D55">
        <v>48.6</v>
      </c>
      <c r="E55">
        <v>54.8</v>
      </c>
      <c r="F55">
        <v>7.9</v>
      </c>
      <c r="G55">
        <v>24.1</v>
      </c>
      <c r="H55">
        <v>1271</v>
      </c>
      <c r="I55">
        <v>55.4</v>
      </c>
    </row>
    <row r="56" spans="1:9" x14ac:dyDescent="0.35">
      <c r="A56" t="s">
        <v>14</v>
      </c>
      <c r="B56">
        <v>2025</v>
      </c>
      <c r="C56">
        <v>6745298</v>
      </c>
      <c r="D56">
        <v>43.2</v>
      </c>
      <c r="E56">
        <v>52.6</v>
      </c>
      <c r="F56">
        <v>12.5</v>
      </c>
      <c r="G56">
        <v>28.6</v>
      </c>
      <c r="H56">
        <v>1133</v>
      </c>
      <c r="I56">
        <v>36.9</v>
      </c>
    </row>
    <row r="57" spans="1:9" x14ac:dyDescent="0.35">
      <c r="A57" t="s">
        <v>15</v>
      </c>
      <c r="B57">
        <v>2015</v>
      </c>
      <c r="C57">
        <v>727385</v>
      </c>
      <c r="E57">
        <v>90.5</v>
      </c>
      <c r="F57">
        <v>6.7</v>
      </c>
      <c r="G57">
        <v>27.9</v>
      </c>
      <c r="H57">
        <v>1440</v>
      </c>
      <c r="I57">
        <v>74.900000000000006</v>
      </c>
    </row>
    <row r="58" spans="1:9" x14ac:dyDescent="0.35">
      <c r="A58" t="s">
        <v>15</v>
      </c>
      <c r="B58">
        <v>2016</v>
      </c>
      <c r="C58">
        <v>743652</v>
      </c>
      <c r="D58">
        <v>74.2</v>
      </c>
      <c r="E58">
        <v>82.4</v>
      </c>
      <c r="F58">
        <v>14.2</v>
      </c>
      <c r="G58">
        <v>22.6</v>
      </c>
      <c r="I58">
        <v>66</v>
      </c>
    </row>
    <row r="59" spans="1:9" x14ac:dyDescent="0.35">
      <c r="A59" t="s">
        <v>15</v>
      </c>
      <c r="B59">
        <v>2017</v>
      </c>
      <c r="C59">
        <v>755623</v>
      </c>
      <c r="D59">
        <v>80.900000000000006</v>
      </c>
      <c r="E59">
        <v>86.7</v>
      </c>
      <c r="F59">
        <v>16.8</v>
      </c>
      <c r="G59">
        <v>27.3</v>
      </c>
      <c r="H59">
        <v>1598</v>
      </c>
      <c r="I59">
        <v>75.5</v>
      </c>
    </row>
    <row r="60" spans="1:9" x14ac:dyDescent="0.35">
      <c r="A60" t="s">
        <v>15</v>
      </c>
      <c r="B60">
        <v>2018</v>
      </c>
      <c r="C60">
        <v>820433</v>
      </c>
      <c r="D60">
        <v>77.3</v>
      </c>
      <c r="E60">
        <v>85.3</v>
      </c>
      <c r="F60">
        <v>15.8</v>
      </c>
      <c r="G60">
        <v>19.399999999999999</v>
      </c>
      <c r="H60">
        <v>1696</v>
      </c>
      <c r="I60">
        <v>72</v>
      </c>
    </row>
    <row r="61" spans="1:9" x14ac:dyDescent="0.35">
      <c r="A61" t="s">
        <v>15</v>
      </c>
      <c r="B61">
        <v>2019</v>
      </c>
      <c r="C61">
        <v>778415</v>
      </c>
      <c r="D61">
        <v>79.8</v>
      </c>
      <c r="E61">
        <v>87.1</v>
      </c>
      <c r="F61">
        <v>12.6</v>
      </c>
      <c r="G61">
        <v>20.6</v>
      </c>
      <c r="I61">
        <v>63.1</v>
      </c>
    </row>
    <row r="62" spans="1:9" x14ac:dyDescent="0.35">
      <c r="A62" t="s">
        <v>15</v>
      </c>
      <c r="B62">
        <v>2020</v>
      </c>
      <c r="C62">
        <v>802481</v>
      </c>
      <c r="D62">
        <v>78.8</v>
      </c>
      <c r="E62">
        <v>86.5</v>
      </c>
      <c r="F62">
        <v>10.7</v>
      </c>
      <c r="G62">
        <v>28.3</v>
      </c>
      <c r="H62">
        <v>1459</v>
      </c>
      <c r="I62">
        <v>83.7</v>
      </c>
    </row>
    <row r="63" spans="1:9" x14ac:dyDescent="0.35">
      <c r="A63" t="s">
        <v>15</v>
      </c>
      <c r="B63">
        <v>2021</v>
      </c>
      <c r="C63">
        <v>802941</v>
      </c>
      <c r="D63">
        <v>82.4</v>
      </c>
      <c r="E63">
        <v>88</v>
      </c>
      <c r="F63">
        <v>9.1</v>
      </c>
      <c r="G63">
        <v>28.1</v>
      </c>
      <c r="H63">
        <v>1693</v>
      </c>
      <c r="I63">
        <v>64.900000000000006</v>
      </c>
    </row>
    <row r="64" spans="1:9" x14ac:dyDescent="0.35">
      <c r="A64" t="s">
        <v>15</v>
      </c>
      <c r="B64">
        <v>2022</v>
      </c>
      <c r="C64">
        <v>836881</v>
      </c>
      <c r="D64">
        <v>78.5</v>
      </c>
      <c r="E64">
        <v>87.4</v>
      </c>
      <c r="F64">
        <v>16.7</v>
      </c>
      <c r="G64">
        <v>26.9</v>
      </c>
      <c r="H64">
        <v>1714</v>
      </c>
      <c r="I64">
        <v>39.9</v>
      </c>
    </row>
    <row r="65" spans="1:9" x14ac:dyDescent="0.35">
      <c r="A65" t="s">
        <v>15</v>
      </c>
      <c r="B65">
        <v>2023</v>
      </c>
      <c r="C65">
        <v>995776</v>
      </c>
      <c r="D65">
        <v>78.8</v>
      </c>
      <c r="E65">
        <v>89.1</v>
      </c>
      <c r="F65">
        <v>14.5</v>
      </c>
      <c r="G65">
        <v>28.5</v>
      </c>
      <c r="H65">
        <v>1766</v>
      </c>
      <c r="I65">
        <v>62.1</v>
      </c>
    </row>
    <row r="66" spans="1:9" x14ac:dyDescent="0.35">
      <c r="A66" t="s">
        <v>15</v>
      </c>
      <c r="B66">
        <v>2024</v>
      </c>
      <c r="C66">
        <v>1000416</v>
      </c>
      <c r="D66">
        <v>75.900000000000006</v>
      </c>
      <c r="E66">
        <v>83.7</v>
      </c>
      <c r="F66">
        <v>6.9</v>
      </c>
      <c r="G66">
        <v>26.9</v>
      </c>
      <c r="H66">
        <v>1357</v>
      </c>
      <c r="I66">
        <v>64.3</v>
      </c>
    </row>
    <row r="67" spans="1:9" x14ac:dyDescent="0.35">
      <c r="A67" t="s">
        <v>15</v>
      </c>
      <c r="B67">
        <v>2025</v>
      </c>
      <c r="C67">
        <v>1097836</v>
      </c>
      <c r="D67">
        <v>82.7</v>
      </c>
      <c r="E67">
        <v>93.7</v>
      </c>
      <c r="F67">
        <v>9.9</v>
      </c>
      <c r="G67">
        <v>29.5</v>
      </c>
      <c r="H67">
        <v>1654</v>
      </c>
      <c r="I67">
        <v>86.1</v>
      </c>
    </row>
    <row r="68" spans="1:9" x14ac:dyDescent="0.35">
      <c r="A68" t="s">
        <v>16</v>
      </c>
      <c r="B68">
        <v>2015</v>
      </c>
      <c r="C68">
        <v>3649697</v>
      </c>
      <c r="D68">
        <v>69.2</v>
      </c>
      <c r="E68">
        <v>74.8</v>
      </c>
      <c r="F68">
        <v>12.2</v>
      </c>
      <c r="G68">
        <v>18.8</v>
      </c>
      <c r="H68">
        <v>1518</v>
      </c>
      <c r="I68">
        <v>29.2</v>
      </c>
    </row>
    <row r="69" spans="1:9" x14ac:dyDescent="0.35">
      <c r="A69" t="s">
        <v>16</v>
      </c>
      <c r="B69">
        <v>2016</v>
      </c>
      <c r="C69">
        <v>3735795</v>
      </c>
      <c r="D69">
        <v>68.7</v>
      </c>
      <c r="E69">
        <v>79.099999999999994</v>
      </c>
      <c r="F69">
        <v>7.6</v>
      </c>
      <c r="G69">
        <v>25.4</v>
      </c>
      <c r="H69">
        <v>1553</v>
      </c>
      <c r="I69">
        <v>80</v>
      </c>
    </row>
    <row r="70" spans="1:9" x14ac:dyDescent="0.35">
      <c r="A70" t="s">
        <v>16</v>
      </c>
      <c r="B70">
        <v>2017</v>
      </c>
      <c r="C70">
        <v>3929516</v>
      </c>
      <c r="D70">
        <v>69.5</v>
      </c>
      <c r="E70">
        <v>77.3</v>
      </c>
      <c r="F70">
        <v>7.4</v>
      </c>
      <c r="G70">
        <v>26</v>
      </c>
      <c r="H70">
        <v>1159</v>
      </c>
      <c r="I70">
        <v>35.6</v>
      </c>
    </row>
    <row r="71" spans="1:9" x14ac:dyDescent="0.35">
      <c r="A71" t="s">
        <v>17</v>
      </c>
      <c r="B71">
        <v>2018</v>
      </c>
      <c r="C71">
        <v>3874823</v>
      </c>
      <c r="D71">
        <v>68.400000000000006</v>
      </c>
      <c r="E71">
        <v>78.8</v>
      </c>
      <c r="F71">
        <v>13.9</v>
      </c>
      <c r="G71">
        <v>26.3</v>
      </c>
      <c r="H71">
        <v>1177</v>
      </c>
      <c r="I71">
        <v>53.7</v>
      </c>
    </row>
    <row r="72" spans="1:9" x14ac:dyDescent="0.35">
      <c r="A72" t="s">
        <v>17</v>
      </c>
      <c r="B72">
        <v>2019</v>
      </c>
      <c r="C72">
        <v>4340384</v>
      </c>
      <c r="D72">
        <v>65.3</v>
      </c>
      <c r="E72">
        <v>74</v>
      </c>
      <c r="F72">
        <v>16.7</v>
      </c>
      <c r="G72">
        <v>25.1</v>
      </c>
      <c r="H72">
        <v>1306</v>
      </c>
      <c r="I72">
        <v>73.3</v>
      </c>
    </row>
    <row r="73" spans="1:9" x14ac:dyDescent="0.35">
      <c r="A73" t="s">
        <v>17</v>
      </c>
      <c r="B73">
        <v>2020</v>
      </c>
      <c r="C73">
        <v>4209152</v>
      </c>
      <c r="D73">
        <v>68.3</v>
      </c>
      <c r="E73">
        <v>75.099999999999994</v>
      </c>
      <c r="F73">
        <v>6.8</v>
      </c>
      <c r="G73">
        <v>30.9</v>
      </c>
      <c r="H73">
        <v>1297</v>
      </c>
      <c r="I73">
        <v>67.400000000000006</v>
      </c>
    </row>
    <row r="74" spans="1:9" x14ac:dyDescent="0.35">
      <c r="A74" t="s">
        <v>17</v>
      </c>
      <c r="B74">
        <v>2021</v>
      </c>
      <c r="C74">
        <v>4455350</v>
      </c>
      <c r="D74">
        <v>68.099999999999994</v>
      </c>
      <c r="E74">
        <v>74.3</v>
      </c>
      <c r="F74">
        <v>11.1</v>
      </c>
      <c r="G74">
        <v>19.5</v>
      </c>
      <c r="H74">
        <v>1432</v>
      </c>
      <c r="I74">
        <v>65.099999999999994</v>
      </c>
    </row>
    <row r="75" spans="1:9" x14ac:dyDescent="0.35">
      <c r="A75" t="s">
        <v>17</v>
      </c>
      <c r="B75">
        <v>2022</v>
      </c>
      <c r="C75">
        <v>4894670</v>
      </c>
      <c r="E75">
        <v>76.5</v>
      </c>
      <c r="F75">
        <v>9.1999999999999993</v>
      </c>
      <c r="G75">
        <v>20.5</v>
      </c>
      <c r="H75">
        <v>1475</v>
      </c>
      <c r="I75">
        <v>68.599999999999994</v>
      </c>
    </row>
    <row r="76" spans="1:9" x14ac:dyDescent="0.35">
      <c r="A76" t="s">
        <v>17</v>
      </c>
      <c r="B76">
        <v>2023</v>
      </c>
      <c r="C76">
        <v>4661908</v>
      </c>
      <c r="D76">
        <v>70.5</v>
      </c>
      <c r="E76">
        <v>77.599999999999994</v>
      </c>
      <c r="F76">
        <v>6.7</v>
      </c>
      <c r="G76">
        <v>30</v>
      </c>
      <c r="H76">
        <v>1536</v>
      </c>
      <c r="I76">
        <v>48.7</v>
      </c>
    </row>
    <row r="77" spans="1:9" x14ac:dyDescent="0.35">
      <c r="A77" t="s">
        <v>17</v>
      </c>
      <c r="B77">
        <v>2024</v>
      </c>
      <c r="C77">
        <v>5381662</v>
      </c>
      <c r="D77">
        <v>68.5</v>
      </c>
      <c r="E77">
        <v>74</v>
      </c>
      <c r="F77">
        <v>6.8</v>
      </c>
      <c r="G77">
        <v>25.3</v>
      </c>
      <c r="H77">
        <v>1374</v>
      </c>
      <c r="I77">
        <v>75.900000000000006</v>
      </c>
    </row>
    <row r="78" spans="1:9" x14ac:dyDescent="0.35">
      <c r="A78" t="s">
        <v>17</v>
      </c>
      <c r="B78">
        <v>2025</v>
      </c>
      <c r="C78">
        <v>5156368</v>
      </c>
      <c r="D78">
        <v>65.5</v>
      </c>
      <c r="E78">
        <v>75.099999999999994</v>
      </c>
      <c r="F78">
        <v>12</v>
      </c>
      <c r="G78">
        <v>22.4</v>
      </c>
      <c r="H78">
        <v>1455</v>
      </c>
      <c r="I78">
        <v>70.3</v>
      </c>
    </row>
    <row r="79" spans="1:9" x14ac:dyDescent="0.35">
      <c r="A79" t="s">
        <v>18</v>
      </c>
      <c r="B79">
        <v>2015</v>
      </c>
      <c r="C79">
        <v>4589973</v>
      </c>
      <c r="D79">
        <v>45.8</v>
      </c>
      <c r="E79">
        <v>57.3</v>
      </c>
      <c r="F79">
        <v>13.8</v>
      </c>
      <c r="G79">
        <v>28.6</v>
      </c>
      <c r="H79">
        <v>1384</v>
      </c>
      <c r="I79">
        <v>76.7</v>
      </c>
    </row>
    <row r="80" spans="1:9" x14ac:dyDescent="0.35">
      <c r="A80" t="s">
        <v>18</v>
      </c>
      <c r="B80">
        <v>2016</v>
      </c>
      <c r="C80">
        <v>4705662</v>
      </c>
      <c r="D80">
        <v>40.9</v>
      </c>
      <c r="E80">
        <v>49</v>
      </c>
      <c r="F80">
        <v>16.3</v>
      </c>
      <c r="G80">
        <v>20.3</v>
      </c>
      <c r="H80">
        <v>1312</v>
      </c>
      <c r="I80">
        <v>74.7</v>
      </c>
    </row>
    <row r="81" spans="1:9" x14ac:dyDescent="0.35">
      <c r="A81" t="s">
        <v>18</v>
      </c>
      <c r="B81">
        <v>2017</v>
      </c>
      <c r="C81">
        <v>4809361</v>
      </c>
      <c r="D81">
        <v>41.6</v>
      </c>
      <c r="E81">
        <v>52.9</v>
      </c>
      <c r="F81">
        <v>12.9</v>
      </c>
      <c r="G81">
        <v>30.7</v>
      </c>
      <c r="I81">
        <v>70.2</v>
      </c>
    </row>
    <row r="82" spans="1:9" x14ac:dyDescent="0.35">
      <c r="A82" t="s">
        <v>18</v>
      </c>
      <c r="B82">
        <v>2018</v>
      </c>
      <c r="C82">
        <v>4880124</v>
      </c>
      <c r="D82">
        <v>40.5</v>
      </c>
      <c r="E82">
        <v>49.5</v>
      </c>
      <c r="F82">
        <v>15.3</v>
      </c>
      <c r="G82">
        <v>18.2</v>
      </c>
      <c r="H82">
        <v>1249</v>
      </c>
      <c r="I82">
        <v>44.2</v>
      </c>
    </row>
    <row r="83" spans="1:9" x14ac:dyDescent="0.35">
      <c r="A83" t="s">
        <v>18</v>
      </c>
      <c r="B83">
        <v>2019</v>
      </c>
      <c r="C83">
        <v>5164668</v>
      </c>
      <c r="D83">
        <v>49.9</v>
      </c>
      <c r="E83">
        <v>61.7</v>
      </c>
      <c r="F83">
        <v>15</v>
      </c>
      <c r="G83">
        <v>30.3</v>
      </c>
      <c r="H83">
        <v>1117</v>
      </c>
      <c r="I83">
        <v>28.1</v>
      </c>
    </row>
    <row r="84" spans="1:9" x14ac:dyDescent="0.35">
      <c r="A84" t="s">
        <v>18</v>
      </c>
      <c r="B84">
        <v>2020</v>
      </c>
      <c r="C84">
        <v>5602648</v>
      </c>
      <c r="E84">
        <v>52.7</v>
      </c>
      <c r="F84">
        <v>17.7</v>
      </c>
      <c r="G84">
        <v>25.4</v>
      </c>
      <c r="H84">
        <v>1400</v>
      </c>
      <c r="I84">
        <v>66.5</v>
      </c>
    </row>
    <row r="85" spans="1:9" x14ac:dyDescent="0.35">
      <c r="A85" t="s">
        <v>18</v>
      </c>
      <c r="B85">
        <v>2021</v>
      </c>
      <c r="C85">
        <v>5948804</v>
      </c>
      <c r="D85">
        <v>47.7</v>
      </c>
      <c r="E85">
        <v>56.8</v>
      </c>
      <c r="F85">
        <v>10.9</v>
      </c>
      <c r="G85">
        <v>25.8</v>
      </c>
      <c r="H85">
        <v>1211</v>
      </c>
      <c r="I85">
        <v>49.7</v>
      </c>
    </row>
    <row r="86" spans="1:9" x14ac:dyDescent="0.35">
      <c r="A86" t="s">
        <v>18</v>
      </c>
      <c r="B86">
        <v>2022</v>
      </c>
      <c r="C86">
        <v>5741515</v>
      </c>
      <c r="D86">
        <v>48.7</v>
      </c>
      <c r="E86">
        <v>53.8</v>
      </c>
      <c r="F86">
        <v>16</v>
      </c>
      <c r="G86">
        <v>19.899999999999999</v>
      </c>
      <c r="H86">
        <v>1031</v>
      </c>
      <c r="I86">
        <v>38.299999999999997</v>
      </c>
    </row>
    <row r="87" spans="1:9" x14ac:dyDescent="0.35">
      <c r="A87" t="s">
        <v>18</v>
      </c>
      <c r="B87">
        <v>2023</v>
      </c>
      <c r="C87">
        <v>5244119</v>
      </c>
      <c r="D87">
        <v>44.5</v>
      </c>
      <c r="E87">
        <v>53.9</v>
      </c>
      <c r="F87">
        <v>14.4</v>
      </c>
      <c r="G87">
        <v>20.3</v>
      </c>
      <c r="H87">
        <v>1257</v>
      </c>
      <c r="I87">
        <v>78</v>
      </c>
    </row>
    <row r="88" spans="1:9" x14ac:dyDescent="0.35">
      <c r="A88" t="s">
        <v>18</v>
      </c>
      <c r="B88">
        <v>2024</v>
      </c>
      <c r="C88">
        <v>6597293</v>
      </c>
      <c r="D88">
        <v>47.9</v>
      </c>
      <c r="E88">
        <v>56.3</v>
      </c>
      <c r="F88">
        <v>17.600000000000001</v>
      </c>
      <c r="G88">
        <v>19.2</v>
      </c>
      <c r="H88">
        <v>1028</v>
      </c>
      <c r="I88">
        <v>55.7</v>
      </c>
    </row>
    <row r="89" spans="1:9" x14ac:dyDescent="0.35">
      <c r="A89" t="s">
        <v>18</v>
      </c>
      <c r="B89">
        <v>2025</v>
      </c>
      <c r="C89">
        <v>6551347</v>
      </c>
      <c r="D89">
        <v>42.9</v>
      </c>
      <c r="E89">
        <v>51.2</v>
      </c>
      <c r="F89">
        <v>16.600000000000001</v>
      </c>
      <c r="G89">
        <v>18.600000000000001</v>
      </c>
      <c r="I89">
        <v>30.1</v>
      </c>
    </row>
    <row r="90" spans="1:9" x14ac:dyDescent="0.35">
      <c r="A90" t="s">
        <v>19</v>
      </c>
      <c r="B90">
        <v>2015</v>
      </c>
      <c r="C90">
        <v>1929776</v>
      </c>
      <c r="E90">
        <v>60.2</v>
      </c>
      <c r="F90">
        <v>16.600000000000001</v>
      </c>
      <c r="G90">
        <v>30.4</v>
      </c>
      <c r="H90">
        <v>735</v>
      </c>
      <c r="I90">
        <v>76.5</v>
      </c>
    </row>
    <row r="91" spans="1:9" x14ac:dyDescent="0.35">
      <c r="A91" t="s">
        <v>19</v>
      </c>
      <c r="B91">
        <v>2016</v>
      </c>
      <c r="C91">
        <v>1988523</v>
      </c>
      <c r="D91">
        <v>54.1</v>
      </c>
      <c r="E91">
        <v>61.2</v>
      </c>
      <c r="F91">
        <v>13.3</v>
      </c>
      <c r="G91">
        <v>21.3</v>
      </c>
      <c r="H91">
        <v>488</v>
      </c>
      <c r="I91">
        <v>26</v>
      </c>
    </row>
    <row r="92" spans="1:9" x14ac:dyDescent="0.35">
      <c r="A92" t="s">
        <v>19</v>
      </c>
      <c r="B92">
        <v>2017</v>
      </c>
      <c r="C92">
        <v>2032585</v>
      </c>
      <c r="D92">
        <v>53.4</v>
      </c>
      <c r="E92">
        <v>60.3</v>
      </c>
      <c r="F92">
        <v>10.3</v>
      </c>
      <c r="G92">
        <v>25.1</v>
      </c>
      <c r="H92">
        <v>315</v>
      </c>
      <c r="I92">
        <v>46.3</v>
      </c>
    </row>
    <row r="93" spans="1:9" x14ac:dyDescent="0.35">
      <c r="A93" t="s">
        <v>19</v>
      </c>
      <c r="B93">
        <v>2018</v>
      </c>
      <c r="C93">
        <v>2046338</v>
      </c>
      <c r="D93">
        <v>57.1</v>
      </c>
      <c r="E93">
        <v>64.599999999999994</v>
      </c>
      <c r="F93">
        <v>7.1</v>
      </c>
      <c r="G93">
        <v>22.1</v>
      </c>
      <c r="I93">
        <v>44.9</v>
      </c>
    </row>
    <row r="94" spans="1:9" x14ac:dyDescent="0.35">
      <c r="A94" t="s">
        <v>19</v>
      </c>
      <c r="B94">
        <v>2019</v>
      </c>
      <c r="C94">
        <v>2075757</v>
      </c>
      <c r="D94">
        <v>55.5</v>
      </c>
      <c r="E94">
        <v>61.4</v>
      </c>
      <c r="F94">
        <v>10.4</v>
      </c>
      <c r="G94">
        <v>30.8</v>
      </c>
      <c r="H94">
        <v>732</v>
      </c>
      <c r="I94">
        <v>27</v>
      </c>
    </row>
    <row r="95" spans="1:9" x14ac:dyDescent="0.35">
      <c r="A95" t="s">
        <v>19</v>
      </c>
      <c r="B95">
        <v>2020</v>
      </c>
      <c r="C95">
        <v>2251682</v>
      </c>
      <c r="D95">
        <v>56.8</v>
      </c>
      <c r="E95">
        <v>66.400000000000006</v>
      </c>
      <c r="F95">
        <v>10.6</v>
      </c>
      <c r="G95">
        <v>25.1</v>
      </c>
      <c r="H95">
        <v>710</v>
      </c>
      <c r="I95">
        <v>81.599999999999994</v>
      </c>
    </row>
    <row r="96" spans="1:9" x14ac:dyDescent="0.35">
      <c r="A96" t="s">
        <v>19</v>
      </c>
      <c r="B96">
        <v>2021</v>
      </c>
      <c r="C96">
        <v>2113015</v>
      </c>
      <c r="D96">
        <v>56.6</v>
      </c>
      <c r="E96">
        <v>68.400000000000006</v>
      </c>
      <c r="F96">
        <v>7.5</v>
      </c>
      <c r="G96">
        <v>20.5</v>
      </c>
      <c r="H96">
        <v>467</v>
      </c>
      <c r="I96">
        <v>87.1</v>
      </c>
    </row>
    <row r="97" spans="1:9" x14ac:dyDescent="0.35">
      <c r="A97" t="s">
        <v>20</v>
      </c>
      <c r="B97">
        <v>2022</v>
      </c>
      <c r="C97">
        <v>2469704</v>
      </c>
      <c r="D97">
        <v>49</v>
      </c>
      <c r="E97">
        <v>56.7</v>
      </c>
      <c r="F97">
        <v>7.7</v>
      </c>
      <c r="G97">
        <v>22.3</v>
      </c>
      <c r="H97">
        <v>636</v>
      </c>
      <c r="I97">
        <v>44.5</v>
      </c>
    </row>
    <row r="98" spans="1:9" x14ac:dyDescent="0.35">
      <c r="A98" t="s">
        <v>20</v>
      </c>
      <c r="B98">
        <v>2023</v>
      </c>
      <c r="C98">
        <v>2207461</v>
      </c>
      <c r="D98">
        <v>51.8</v>
      </c>
      <c r="E98">
        <v>57.9</v>
      </c>
      <c r="F98">
        <v>14.4</v>
      </c>
      <c r="G98">
        <v>30.5</v>
      </c>
      <c r="H98">
        <v>475</v>
      </c>
      <c r="I98">
        <v>49.2</v>
      </c>
    </row>
    <row r="99" spans="1:9" x14ac:dyDescent="0.35">
      <c r="A99" t="s">
        <v>20</v>
      </c>
      <c r="B99">
        <v>2024</v>
      </c>
      <c r="C99">
        <v>2584336</v>
      </c>
      <c r="D99">
        <v>57.3</v>
      </c>
      <c r="E99">
        <v>62.8</v>
      </c>
      <c r="F99">
        <v>17.5</v>
      </c>
      <c r="G99">
        <v>23.4</v>
      </c>
      <c r="H99">
        <v>649</v>
      </c>
      <c r="I99">
        <v>29.4</v>
      </c>
    </row>
    <row r="100" spans="1:9" x14ac:dyDescent="0.35">
      <c r="A100" t="s">
        <v>20</v>
      </c>
      <c r="B100">
        <v>2025</v>
      </c>
      <c r="C100">
        <v>2993430</v>
      </c>
      <c r="D100">
        <v>53.4</v>
      </c>
      <c r="E100">
        <v>59.8</v>
      </c>
      <c r="F100">
        <v>16.2</v>
      </c>
      <c r="G100">
        <v>28.4</v>
      </c>
      <c r="H100">
        <v>612</v>
      </c>
      <c r="I100">
        <v>80.400000000000006</v>
      </c>
    </row>
    <row r="101" spans="1:9" x14ac:dyDescent="0.35">
      <c r="A101" t="s">
        <v>21</v>
      </c>
      <c r="B101">
        <v>2015</v>
      </c>
      <c r="C101">
        <v>2728087</v>
      </c>
      <c r="D101">
        <v>47</v>
      </c>
      <c r="E101">
        <v>55.1</v>
      </c>
      <c r="F101">
        <v>8.8000000000000007</v>
      </c>
      <c r="G101">
        <v>19.7</v>
      </c>
      <c r="H101">
        <v>1204</v>
      </c>
      <c r="I101">
        <v>75.8</v>
      </c>
    </row>
    <row r="102" spans="1:9" x14ac:dyDescent="0.35">
      <c r="A102" t="s">
        <v>21</v>
      </c>
      <c r="B102">
        <v>2016</v>
      </c>
      <c r="C102">
        <v>2779371</v>
      </c>
      <c r="D102">
        <v>53.6</v>
      </c>
      <c r="E102">
        <v>61.2</v>
      </c>
      <c r="F102">
        <v>7.7</v>
      </c>
      <c r="G102">
        <v>19.8</v>
      </c>
      <c r="H102">
        <v>1236</v>
      </c>
      <c r="I102">
        <v>75.7</v>
      </c>
    </row>
    <row r="103" spans="1:9" x14ac:dyDescent="0.35">
      <c r="A103" t="s">
        <v>21</v>
      </c>
      <c r="B103">
        <v>2017</v>
      </c>
      <c r="C103">
        <v>2917412</v>
      </c>
      <c r="D103">
        <v>49.1</v>
      </c>
      <c r="E103">
        <v>55.5</v>
      </c>
      <c r="F103">
        <v>10.9</v>
      </c>
      <c r="G103">
        <v>23.2</v>
      </c>
      <c r="H103">
        <v>916</v>
      </c>
      <c r="I103">
        <v>41.9</v>
      </c>
    </row>
    <row r="104" spans="1:9" x14ac:dyDescent="0.35">
      <c r="A104" t="s">
        <v>22</v>
      </c>
      <c r="B104">
        <v>2018</v>
      </c>
      <c r="C104">
        <v>2889373</v>
      </c>
      <c r="D104">
        <v>51.3</v>
      </c>
      <c r="E104">
        <v>57.1</v>
      </c>
      <c r="F104">
        <v>9.3000000000000007</v>
      </c>
      <c r="G104">
        <v>28.5</v>
      </c>
      <c r="H104">
        <v>896</v>
      </c>
      <c r="I104">
        <v>70.2</v>
      </c>
    </row>
    <row r="105" spans="1:9" x14ac:dyDescent="0.35">
      <c r="A105" t="s">
        <v>22</v>
      </c>
      <c r="B105">
        <v>2019</v>
      </c>
      <c r="C105">
        <v>3151293</v>
      </c>
      <c r="D105">
        <v>53.1</v>
      </c>
      <c r="E105">
        <v>58.4</v>
      </c>
      <c r="F105">
        <v>11.1</v>
      </c>
      <c r="G105">
        <v>20.9</v>
      </c>
      <c r="H105">
        <v>1083</v>
      </c>
      <c r="I105">
        <v>45.4</v>
      </c>
    </row>
    <row r="106" spans="1:9" x14ac:dyDescent="0.35">
      <c r="A106" t="s">
        <v>22</v>
      </c>
      <c r="B106">
        <v>2020</v>
      </c>
      <c r="C106">
        <v>3377112</v>
      </c>
      <c r="D106">
        <v>46.2</v>
      </c>
      <c r="E106">
        <v>57.1</v>
      </c>
      <c r="F106">
        <v>7.9</v>
      </c>
      <c r="G106">
        <v>20.7</v>
      </c>
      <c r="H106">
        <v>883</v>
      </c>
      <c r="I106">
        <v>64.900000000000006</v>
      </c>
    </row>
    <row r="107" spans="1:9" x14ac:dyDescent="0.35">
      <c r="A107" t="s">
        <v>22</v>
      </c>
      <c r="B107">
        <v>2021</v>
      </c>
      <c r="C107">
        <v>3117827</v>
      </c>
      <c r="D107">
        <v>50</v>
      </c>
      <c r="E107">
        <v>60.9</v>
      </c>
      <c r="F107">
        <v>10.1</v>
      </c>
      <c r="G107">
        <v>26.8</v>
      </c>
      <c r="H107">
        <v>1146</v>
      </c>
      <c r="I107">
        <v>34.1</v>
      </c>
    </row>
    <row r="108" spans="1:9" x14ac:dyDescent="0.35">
      <c r="A108" t="s">
        <v>22</v>
      </c>
      <c r="B108">
        <v>2022</v>
      </c>
      <c r="C108">
        <v>3404184</v>
      </c>
      <c r="D108">
        <v>50.8</v>
      </c>
      <c r="E108">
        <v>58.7</v>
      </c>
      <c r="F108">
        <v>10.3</v>
      </c>
      <c r="G108">
        <v>30.7</v>
      </c>
      <c r="H108">
        <v>1154</v>
      </c>
      <c r="I108">
        <v>79.2</v>
      </c>
    </row>
    <row r="109" spans="1:9" x14ac:dyDescent="0.35">
      <c r="A109" t="s">
        <v>22</v>
      </c>
      <c r="B109">
        <v>2023</v>
      </c>
      <c r="C109">
        <v>3616073</v>
      </c>
      <c r="D109">
        <v>48.8</v>
      </c>
      <c r="E109">
        <v>60.1</v>
      </c>
      <c r="F109">
        <v>8</v>
      </c>
      <c r="G109">
        <v>23.8</v>
      </c>
      <c r="H109">
        <v>990</v>
      </c>
      <c r="I109">
        <v>27.2</v>
      </c>
    </row>
    <row r="110" spans="1:9" x14ac:dyDescent="0.35">
      <c r="A110" t="s">
        <v>22</v>
      </c>
      <c r="B110">
        <v>2024</v>
      </c>
      <c r="C110">
        <v>3758814</v>
      </c>
      <c r="D110">
        <v>53.5</v>
      </c>
      <c r="E110">
        <v>63</v>
      </c>
      <c r="F110">
        <v>12.5</v>
      </c>
      <c r="G110">
        <v>20.100000000000001</v>
      </c>
      <c r="H110">
        <v>976</v>
      </c>
      <c r="I110">
        <v>64.599999999999994</v>
      </c>
    </row>
    <row r="111" spans="1:9" x14ac:dyDescent="0.35">
      <c r="A111" t="s">
        <v>22</v>
      </c>
      <c r="B111">
        <v>2025</v>
      </c>
      <c r="C111">
        <v>3982715</v>
      </c>
      <c r="D111">
        <v>49.2</v>
      </c>
      <c r="E111">
        <v>55.2</v>
      </c>
      <c r="F111">
        <v>11.6</v>
      </c>
      <c r="G111">
        <v>26.7</v>
      </c>
      <c r="H111">
        <v>1195</v>
      </c>
      <c r="I111">
        <v>29.7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BDE5A-427A-40E7-89BE-B268C2127C5A}">
  <dimension ref="A1:S112"/>
  <sheetViews>
    <sheetView zoomScale="46" zoomScaleNormal="46" workbookViewId="0">
      <pane ySplit="2" topLeftCell="A3" activePane="bottomLeft" state="frozen"/>
      <selection pane="bottomLeft" activeCell="L38" sqref="L38"/>
    </sheetView>
  </sheetViews>
  <sheetFormatPr defaultRowHeight="14.5" x14ac:dyDescent="0.35"/>
  <cols>
    <col min="1" max="1" width="11" style="12" customWidth="1"/>
    <col min="2" max="2" width="10.7265625" style="12" customWidth="1"/>
    <col min="3" max="3" width="12.6328125" style="12" customWidth="1"/>
    <col min="4" max="4" width="24.54296875" style="13" customWidth="1"/>
    <col min="5" max="5" width="17.453125" style="13" customWidth="1"/>
    <col min="6" max="6" width="24.08984375" style="13" customWidth="1"/>
    <col min="7" max="7" width="24.7265625" style="13" customWidth="1"/>
    <col min="8" max="8" width="24.08984375" style="12" customWidth="1"/>
    <col min="9" max="9" width="19.36328125" style="12" customWidth="1"/>
    <col min="10" max="11" width="8.7265625" style="12"/>
    <col min="12" max="12" width="11.81640625" style="12" customWidth="1"/>
    <col min="13" max="13" width="12.81640625" style="12" customWidth="1"/>
    <col min="14" max="17" width="8.7265625" style="12"/>
    <col min="18" max="18" width="10.26953125" style="12" customWidth="1"/>
    <col min="19" max="16384" width="8.7265625" style="12"/>
  </cols>
  <sheetData>
    <row r="1" spans="1:19" x14ac:dyDescent="0.35">
      <c r="F1" s="13">
        <f>SUBTOTAL(9,B3:B112,F3:F112)</f>
        <v>223502.30000000005</v>
      </c>
      <c r="G1" s="14" t="s">
        <v>26</v>
      </c>
      <c r="H1" s="12">
        <f>SUBTOTAL(9,H3:H112,A3:A112)</f>
        <v>107334</v>
      </c>
    </row>
    <row r="2" spans="1:19" x14ac:dyDescent="0.35">
      <c r="A2" s="15" t="s">
        <v>0</v>
      </c>
      <c r="B2" s="15" t="s">
        <v>1</v>
      </c>
      <c r="C2" s="15" t="s">
        <v>2</v>
      </c>
      <c r="D2" s="16" t="s">
        <v>3</v>
      </c>
      <c r="E2" s="16" t="s">
        <v>4</v>
      </c>
      <c r="F2" s="16" t="s">
        <v>5</v>
      </c>
      <c r="G2" s="16" t="s">
        <v>6</v>
      </c>
      <c r="H2" s="15" t="s">
        <v>7</v>
      </c>
      <c r="I2" s="15" t="s">
        <v>8</v>
      </c>
    </row>
    <row r="3" spans="1:19" x14ac:dyDescent="0.35">
      <c r="A3" s="12" t="s">
        <v>9</v>
      </c>
      <c r="B3" s="12">
        <v>2015</v>
      </c>
      <c r="C3" s="12">
        <v>773343</v>
      </c>
      <c r="D3" s="13">
        <v>69.099999999999994</v>
      </c>
      <c r="E3" s="13">
        <v>79.900000000000006</v>
      </c>
      <c r="F3" s="13">
        <v>15.8</v>
      </c>
      <c r="G3" s="13">
        <v>26.5</v>
      </c>
      <c r="H3" s="12">
        <v>1270</v>
      </c>
      <c r="I3" s="12">
        <v>27.2</v>
      </c>
      <c r="L3" s="17" t="s">
        <v>0</v>
      </c>
      <c r="M3" s="17" t="s">
        <v>24</v>
      </c>
      <c r="R3" s="12">
        <v>2015</v>
      </c>
    </row>
    <row r="4" spans="1:19" x14ac:dyDescent="0.35">
      <c r="A4" s="12" t="s">
        <v>9</v>
      </c>
      <c r="B4" s="12">
        <v>2016</v>
      </c>
      <c r="C4" s="12">
        <v>802240</v>
      </c>
      <c r="D4" s="13">
        <v>70.599999999999994</v>
      </c>
      <c r="E4" s="13">
        <v>76.599999999999994</v>
      </c>
      <c r="F4" s="13">
        <v>11</v>
      </c>
      <c r="G4" s="13">
        <v>22.6</v>
      </c>
      <c r="H4" s="12">
        <v>1403</v>
      </c>
      <c r="I4" s="12">
        <v>43.4</v>
      </c>
      <c r="L4" s="12" t="s">
        <v>9</v>
      </c>
      <c r="M4" s="12">
        <f>SUMIF(A3:A112,L4,C3:C112)</f>
        <v>9784819</v>
      </c>
      <c r="R4" s="18" t="s">
        <v>0</v>
      </c>
      <c r="S4" s="18" t="s">
        <v>30</v>
      </c>
    </row>
    <row r="5" spans="1:19" x14ac:dyDescent="0.35">
      <c r="A5" s="12" t="s">
        <v>9</v>
      </c>
      <c r="B5" s="12">
        <v>2017</v>
      </c>
      <c r="C5" s="12">
        <v>828192</v>
      </c>
      <c r="D5" s="13">
        <v>68.3</v>
      </c>
      <c r="E5" s="13">
        <v>80.2</v>
      </c>
      <c r="F5" s="13">
        <v>15.2</v>
      </c>
      <c r="G5" s="13">
        <v>30.6</v>
      </c>
      <c r="H5" s="12">
        <v>1502</v>
      </c>
      <c r="I5" s="12">
        <v>49.4</v>
      </c>
      <c r="L5" s="12" t="s">
        <v>10</v>
      </c>
      <c r="M5" s="12">
        <f>SUMIF(A3:A112,L5,C3:C112)</f>
        <v>54993572</v>
      </c>
      <c r="R5" s="12" t="s">
        <v>9</v>
      </c>
      <c r="S5" s="12">
        <f>INDEX(Table1[Literacy_Rate_%],MATCH(R5,Table1[County],0))</f>
        <v>79.900000000000006</v>
      </c>
    </row>
    <row r="6" spans="1:19" x14ac:dyDescent="0.35">
      <c r="A6" s="12" t="s">
        <v>9</v>
      </c>
      <c r="B6" s="12">
        <v>2018</v>
      </c>
      <c r="C6" s="12">
        <v>875658</v>
      </c>
      <c r="E6" s="13">
        <v>79.099999999999994</v>
      </c>
      <c r="F6" s="13">
        <v>15.3</v>
      </c>
      <c r="G6" s="13">
        <v>26.7</v>
      </c>
      <c r="H6" s="12">
        <v>1418</v>
      </c>
      <c r="I6" s="12">
        <v>53.3</v>
      </c>
      <c r="L6" s="12" t="s">
        <v>11</v>
      </c>
      <c r="M6" s="12">
        <f>SUMIF(A3:A112,L6,C3:C112)</f>
        <v>7932888</v>
      </c>
      <c r="R6" s="12" t="s">
        <v>10</v>
      </c>
      <c r="S6" s="12">
        <f>INDEX(Table1[Literacy_Rate_%],MATCH(R6,Table1[County],0))</f>
        <v>83.5</v>
      </c>
    </row>
    <row r="7" spans="1:19" x14ac:dyDescent="0.35">
      <c r="A7" s="12" t="s">
        <v>9</v>
      </c>
      <c r="B7" s="12">
        <v>2019</v>
      </c>
      <c r="C7" s="12">
        <v>836082</v>
      </c>
      <c r="E7" s="13">
        <v>74.5</v>
      </c>
      <c r="F7" s="13">
        <v>11</v>
      </c>
      <c r="G7" s="13">
        <v>24.5</v>
      </c>
      <c r="H7" s="12">
        <v>1606</v>
      </c>
      <c r="I7" s="12">
        <v>64.400000000000006</v>
      </c>
      <c r="L7" s="12" t="s">
        <v>12</v>
      </c>
      <c r="M7" s="12">
        <f>SUMIF(A3:A112,L7,C3:C112)</f>
        <v>64071200</v>
      </c>
      <c r="R7" s="12" t="s">
        <v>11</v>
      </c>
      <c r="S7" s="12">
        <f>INDEX(Table1[Literacy_Rate_%],MATCH(R7,Table1[County],0))</f>
        <v>85.4</v>
      </c>
    </row>
    <row r="8" spans="1:19" x14ac:dyDescent="0.35">
      <c r="A8" s="12" t="s">
        <v>9</v>
      </c>
      <c r="B8" s="12">
        <v>2020</v>
      </c>
      <c r="C8" s="12">
        <v>881527</v>
      </c>
      <c r="D8" s="13">
        <v>76.5</v>
      </c>
      <c r="E8" s="13">
        <v>82.5</v>
      </c>
      <c r="F8" s="13">
        <v>17</v>
      </c>
      <c r="G8" s="13">
        <v>30.5</v>
      </c>
      <c r="H8" s="12">
        <v>1583</v>
      </c>
      <c r="I8" s="12">
        <v>31.3</v>
      </c>
      <c r="L8" s="12" t="s">
        <v>14</v>
      </c>
      <c r="M8" s="12">
        <f>SUMIF(A3:A112,L8,C3:C112)</f>
        <v>63431971</v>
      </c>
      <c r="R8" s="12" t="s">
        <v>12</v>
      </c>
      <c r="S8" s="12">
        <f>INDEX(Table1[Literacy_Rate_%],MATCH(R8,Table1[County],0))</f>
        <v>49.3</v>
      </c>
    </row>
    <row r="9" spans="1:19" x14ac:dyDescent="0.35">
      <c r="A9" s="12" t="s">
        <v>9</v>
      </c>
      <c r="B9" s="12">
        <v>2021</v>
      </c>
      <c r="C9" s="12">
        <v>912689</v>
      </c>
      <c r="D9" s="13">
        <v>71.099999999999994</v>
      </c>
      <c r="E9" s="13">
        <v>78</v>
      </c>
      <c r="F9" s="13">
        <v>8.9</v>
      </c>
      <c r="G9" s="13">
        <v>26</v>
      </c>
      <c r="H9" s="12">
        <v>1279</v>
      </c>
      <c r="I9" s="12">
        <v>81.2</v>
      </c>
      <c r="L9" s="12" t="s">
        <v>23</v>
      </c>
      <c r="M9" s="12">
        <f>SUMIF(A3:A112,L9,C3:C112)</f>
        <v>9361839</v>
      </c>
      <c r="R9" s="12" t="s">
        <v>14</v>
      </c>
      <c r="S9" s="12">
        <f>INDEX(Table1[Literacy_Rate_%],MATCH(R9,Table1[County],0))</f>
        <v>62.1</v>
      </c>
    </row>
    <row r="10" spans="1:19" x14ac:dyDescent="0.35">
      <c r="A10" s="12" t="s">
        <v>9</v>
      </c>
      <c r="B10" s="12">
        <v>2022</v>
      </c>
      <c r="C10" s="12">
        <v>1040422</v>
      </c>
      <c r="D10" s="13">
        <v>68.7</v>
      </c>
      <c r="E10" s="13">
        <v>79.099999999999994</v>
      </c>
      <c r="F10" s="13">
        <v>8.1</v>
      </c>
      <c r="G10" s="13">
        <v>22.3</v>
      </c>
      <c r="H10" s="12">
        <v>1302</v>
      </c>
      <c r="I10" s="12">
        <v>25.3</v>
      </c>
      <c r="L10" s="12" t="s">
        <v>16</v>
      </c>
      <c r="M10" s="12">
        <f>SUMIF(A3:A112,L10,C3:C112)</f>
        <v>48289325</v>
      </c>
      <c r="R10" s="12" t="s">
        <v>23</v>
      </c>
      <c r="S10" s="12">
        <f>INDEX(Table1[Literacy_Rate_%],MATCH(R10,Table1[County],0))</f>
        <v>90.5</v>
      </c>
    </row>
    <row r="11" spans="1:19" x14ac:dyDescent="0.35">
      <c r="A11" s="12" t="s">
        <v>9</v>
      </c>
      <c r="B11" s="12">
        <v>2023</v>
      </c>
      <c r="C11" s="12">
        <v>887765</v>
      </c>
      <c r="D11" s="13">
        <v>71.5</v>
      </c>
      <c r="E11" s="13">
        <v>79.2</v>
      </c>
      <c r="F11" s="13">
        <v>13</v>
      </c>
      <c r="G11" s="13">
        <v>29.3</v>
      </c>
      <c r="H11" s="12">
        <v>1532</v>
      </c>
      <c r="I11" s="12">
        <v>83.1</v>
      </c>
      <c r="L11" s="12" t="s">
        <v>18</v>
      </c>
      <c r="M11" s="12">
        <f>SUMIF(A3:A112,L11,C3:C112)</f>
        <v>59835514</v>
      </c>
      <c r="R11" s="12" t="s">
        <v>16</v>
      </c>
      <c r="S11" s="12">
        <f>INDEX(Table1[Literacy_Rate_%],MATCH(R11,Table1[County],0))</f>
        <v>74.8</v>
      </c>
    </row>
    <row r="12" spans="1:19" x14ac:dyDescent="0.35">
      <c r="A12" s="12" t="s">
        <v>9</v>
      </c>
      <c r="B12" s="12">
        <v>2024</v>
      </c>
      <c r="C12" s="12">
        <v>1004442</v>
      </c>
      <c r="D12" s="13">
        <v>72</v>
      </c>
      <c r="E12" s="13">
        <v>81.7</v>
      </c>
      <c r="F12" s="13">
        <v>8</v>
      </c>
      <c r="G12" s="13">
        <v>29.7</v>
      </c>
      <c r="H12" s="12">
        <v>1257</v>
      </c>
      <c r="I12" s="12">
        <v>52.3</v>
      </c>
      <c r="L12" s="12" t="s">
        <v>19</v>
      </c>
      <c r="M12" s="12">
        <f>SUMIF(A3:A112,L12,C3:C112)</f>
        <v>24692607</v>
      </c>
      <c r="R12" s="12" t="s">
        <v>18</v>
      </c>
      <c r="S12" s="12">
        <f>INDEX(Table1[Literacy_Rate_%],MATCH(R12,Table1[County],0))</f>
        <v>57.3</v>
      </c>
    </row>
    <row r="13" spans="1:19" x14ac:dyDescent="0.35">
      <c r="A13" s="12" t="s">
        <v>9</v>
      </c>
      <c r="B13" s="12">
        <v>2025</v>
      </c>
      <c r="C13" s="12">
        <v>942459</v>
      </c>
      <c r="E13" s="13">
        <v>79.3</v>
      </c>
      <c r="F13" s="13">
        <v>17.600000000000001</v>
      </c>
      <c r="G13" s="13">
        <v>18.5</v>
      </c>
      <c r="H13" s="12">
        <v>1189</v>
      </c>
      <c r="I13" s="12">
        <v>53.5</v>
      </c>
      <c r="L13" s="12" t="s">
        <v>21</v>
      </c>
      <c r="M13" s="12">
        <f>SUMIF(A3:A112,L13,C3:C112)</f>
        <v>35722261</v>
      </c>
      <c r="R13" s="12" t="s">
        <v>19</v>
      </c>
      <c r="S13" s="12">
        <f>INDEX(Table1[Literacy_Rate_%],MATCH(R13,Table1[County],0))</f>
        <v>60.2</v>
      </c>
    </row>
    <row r="14" spans="1:19" x14ac:dyDescent="0.35">
      <c r="A14" s="12" t="s">
        <v>10</v>
      </c>
      <c r="B14" s="12">
        <v>2015</v>
      </c>
      <c r="C14" s="12">
        <v>4309085</v>
      </c>
      <c r="D14" s="13">
        <v>75.400000000000006</v>
      </c>
      <c r="E14" s="13">
        <v>83.5</v>
      </c>
      <c r="F14" s="13">
        <v>12</v>
      </c>
      <c r="G14" s="13">
        <v>27.4</v>
      </c>
      <c r="H14" s="12">
        <v>888</v>
      </c>
      <c r="I14" s="12">
        <v>70.400000000000006</v>
      </c>
      <c r="R14" s="12" t="s">
        <v>21</v>
      </c>
      <c r="S14" s="12">
        <f>INDEX(Table1[Literacy_Rate_%],MATCH(R14,Table1[County],0))</f>
        <v>55.1</v>
      </c>
    </row>
    <row r="15" spans="1:19" x14ac:dyDescent="0.35">
      <c r="A15" s="12" t="s">
        <v>10</v>
      </c>
      <c r="B15" s="12">
        <v>2016</v>
      </c>
      <c r="C15" s="12">
        <v>4393581</v>
      </c>
      <c r="D15" s="13">
        <v>73.400000000000006</v>
      </c>
      <c r="E15" s="13">
        <v>83.2</v>
      </c>
      <c r="F15" s="13">
        <v>13.4</v>
      </c>
      <c r="G15" s="13">
        <v>26.4</v>
      </c>
      <c r="I15" s="12">
        <v>62.4</v>
      </c>
      <c r="L15" s="19" t="s">
        <v>25</v>
      </c>
    </row>
    <row r="16" spans="1:19" x14ac:dyDescent="0.35">
      <c r="A16" s="12" t="s">
        <v>10</v>
      </c>
      <c r="B16" s="12">
        <v>2017</v>
      </c>
      <c r="C16" s="12">
        <v>4517418</v>
      </c>
      <c r="D16" s="13">
        <v>79.5</v>
      </c>
      <c r="E16" s="13">
        <v>86.5</v>
      </c>
      <c r="F16" s="13">
        <v>9</v>
      </c>
      <c r="G16" s="13">
        <v>19.2</v>
      </c>
      <c r="H16" s="12">
        <v>790</v>
      </c>
      <c r="I16" s="12">
        <v>84.4</v>
      </c>
      <c r="L16" s="12">
        <f>AVERAGEIF(D3:D112,"&gt;70",E3:E112)</f>
        <v>83.991176470588229</v>
      </c>
    </row>
    <row r="17" spans="1:13" x14ac:dyDescent="0.35">
      <c r="A17" s="12" t="s">
        <v>10</v>
      </c>
      <c r="B17" s="12">
        <v>2018</v>
      </c>
      <c r="C17" s="12">
        <v>4620944</v>
      </c>
      <c r="D17" s="13">
        <v>77.7</v>
      </c>
      <c r="E17" s="13">
        <v>86.9</v>
      </c>
      <c r="F17" s="13">
        <v>7.7</v>
      </c>
      <c r="G17" s="13">
        <v>30</v>
      </c>
      <c r="H17" s="12">
        <v>583</v>
      </c>
      <c r="I17" s="12">
        <v>89.1</v>
      </c>
    </row>
    <row r="18" spans="1:13" x14ac:dyDescent="0.35">
      <c r="A18" s="12" t="s">
        <v>10</v>
      </c>
      <c r="B18" s="12">
        <v>2019</v>
      </c>
      <c r="C18" s="12">
        <v>5130569</v>
      </c>
      <c r="D18" s="13">
        <v>77.8</v>
      </c>
      <c r="E18" s="13">
        <v>89.5</v>
      </c>
      <c r="F18" s="13">
        <v>9.6999999999999993</v>
      </c>
      <c r="G18" s="13">
        <v>29.2</v>
      </c>
      <c r="H18" s="12">
        <v>869</v>
      </c>
      <c r="L18" s="19" t="s">
        <v>27</v>
      </c>
    </row>
    <row r="19" spans="1:13" x14ac:dyDescent="0.35">
      <c r="A19" s="12" t="s">
        <v>10</v>
      </c>
      <c r="B19" s="12">
        <v>2020</v>
      </c>
      <c r="C19" s="12">
        <v>5035931</v>
      </c>
      <c r="D19" s="13">
        <v>73.7</v>
      </c>
      <c r="E19" s="13">
        <v>83.1</v>
      </c>
      <c r="F19" s="13">
        <v>10.4</v>
      </c>
      <c r="G19" s="13">
        <v>26.2</v>
      </c>
      <c r="H19" s="12">
        <v>592</v>
      </c>
      <c r="I19" s="12">
        <v>52.6</v>
      </c>
      <c r="L19" s="18" t="s">
        <v>28</v>
      </c>
      <c r="M19" s="18" t="s">
        <v>29</v>
      </c>
    </row>
    <row r="20" spans="1:13" x14ac:dyDescent="0.35">
      <c r="A20" s="12" t="s">
        <v>10</v>
      </c>
      <c r="B20" s="12">
        <v>2021</v>
      </c>
      <c r="C20" s="12">
        <v>4881122</v>
      </c>
      <c r="D20" s="13">
        <v>78.7</v>
      </c>
      <c r="E20" s="13">
        <v>89.5</v>
      </c>
      <c r="F20" s="13">
        <v>15.6</v>
      </c>
      <c r="G20" s="13">
        <v>22.5</v>
      </c>
      <c r="H20" s="12">
        <v>669</v>
      </c>
      <c r="I20" s="12">
        <v>54.7</v>
      </c>
      <c r="L20" s="12" t="s">
        <v>9</v>
      </c>
      <c r="M20" s="12">
        <f>VLOOKUP(L20,Table1[],9,FALSE)</f>
        <v>27.2</v>
      </c>
    </row>
    <row r="21" spans="1:13" x14ac:dyDescent="0.35">
      <c r="A21" s="12" t="s">
        <v>10</v>
      </c>
      <c r="B21" s="12">
        <v>2022</v>
      </c>
      <c r="C21" s="12">
        <v>5514031</v>
      </c>
      <c r="D21" s="13">
        <v>76.099999999999994</v>
      </c>
      <c r="E21" s="13">
        <v>82.9</v>
      </c>
      <c r="F21" s="13">
        <v>12.1</v>
      </c>
      <c r="G21" s="13">
        <v>23.7</v>
      </c>
      <c r="H21" s="12">
        <v>659</v>
      </c>
      <c r="I21" s="12">
        <v>47.7</v>
      </c>
      <c r="L21" s="12" t="s">
        <v>10</v>
      </c>
      <c r="M21" s="12">
        <f>VLOOKUP(L21,Table1[],9,FALSE)</f>
        <v>70.400000000000006</v>
      </c>
    </row>
    <row r="22" spans="1:13" x14ac:dyDescent="0.35">
      <c r="A22" s="12" t="s">
        <v>10</v>
      </c>
      <c r="B22" s="12">
        <v>2023</v>
      </c>
      <c r="C22" s="12">
        <v>5570505</v>
      </c>
      <c r="D22" s="13">
        <v>71.8</v>
      </c>
      <c r="E22" s="13">
        <v>79.400000000000006</v>
      </c>
      <c r="F22" s="13">
        <v>12.5</v>
      </c>
      <c r="G22" s="13">
        <v>27.4</v>
      </c>
      <c r="H22" s="12">
        <v>891</v>
      </c>
      <c r="I22" s="12">
        <v>36</v>
      </c>
      <c r="L22" s="12" t="s">
        <v>11</v>
      </c>
      <c r="M22" s="12">
        <f>VLOOKUP(L22,Table1[],9,FALSE)</f>
        <v>87.1</v>
      </c>
    </row>
    <row r="23" spans="1:13" x14ac:dyDescent="0.35">
      <c r="A23" s="12" t="s">
        <v>10</v>
      </c>
      <c r="B23" s="12">
        <v>2024</v>
      </c>
      <c r="C23" s="12">
        <v>5764756</v>
      </c>
      <c r="D23" s="13">
        <v>78.3</v>
      </c>
      <c r="E23" s="13">
        <v>87.4</v>
      </c>
      <c r="F23" s="13">
        <v>9.6999999999999993</v>
      </c>
      <c r="G23" s="13">
        <v>26.5</v>
      </c>
      <c r="H23" s="12">
        <v>522</v>
      </c>
      <c r="I23" s="12">
        <v>73.099999999999994</v>
      </c>
      <c r="L23" s="12" t="s">
        <v>12</v>
      </c>
      <c r="M23" s="12">
        <f>VLOOKUP(L23,Table1[],9,FALSE)</f>
        <v>72.3</v>
      </c>
    </row>
    <row r="24" spans="1:13" x14ac:dyDescent="0.35">
      <c r="A24" s="12" t="s">
        <v>10</v>
      </c>
      <c r="B24" s="12">
        <v>2025</v>
      </c>
      <c r="C24" s="12">
        <v>5255630</v>
      </c>
      <c r="D24" s="13">
        <v>72</v>
      </c>
      <c r="E24" s="13">
        <v>83.6</v>
      </c>
      <c r="F24" s="13">
        <v>15.5</v>
      </c>
      <c r="G24" s="13">
        <v>20.9</v>
      </c>
      <c r="H24" s="12">
        <v>866</v>
      </c>
      <c r="I24" s="12">
        <v>29.8</v>
      </c>
      <c r="L24" s="12" t="s">
        <v>14</v>
      </c>
      <c r="M24" s="12">
        <f>VLOOKUP(L24,Table1[],9,FALSE)</f>
        <v>89.4</v>
      </c>
    </row>
    <row r="25" spans="1:13" x14ac:dyDescent="0.35">
      <c r="A25" s="12" t="s">
        <v>11</v>
      </c>
      <c r="B25" s="12">
        <v>2015</v>
      </c>
      <c r="C25" s="12">
        <v>634621</v>
      </c>
      <c r="D25" s="13">
        <v>73.900000000000006</v>
      </c>
      <c r="E25" s="13">
        <v>85.4</v>
      </c>
      <c r="F25" s="13">
        <v>8.3000000000000007</v>
      </c>
      <c r="G25" s="13">
        <v>25.3</v>
      </c>
      <c r="I25" s="12">
        <v>87.1</v>
      </c>
      <c r="L25" s="12" t="s">
        <v>23</v>
      </c>
      <c r="M25" s="12">
        <f>VLOOKUP(L25,Table1[],9,FALSE)</f>
        <v>74.900000000000006</v>
      </c>
    </row>
    <row r="26" spans="1:13" x14ac:dyDescent="0.35">
      <c r="A26" s="12" t="s">
        <v>11</v>
      </c>
      <c r="B26" s="12">
        <v>2016</v>
      </c>
      <c r="C26" s="12">
        <v>645094</v>
      </c>
      <c r="D26" s="13">
        <v>70.7</v>
      </c>
      <c r="E26" s="13">
        <v>78.5</v>
      </c>
      <c r="F26" s="13">
        <v>16.3</v>
      </c>
      <c r="G26" s="13">
        <v>25.8</v>
      </c>
      <c r="H26" s="12">
        <v>699</v>
      </c>
      <c r="I26" s="12">
        <v>75.2</v>
      </c>
      <c r="L26" s="12" t="s">
        <v>16</v>
      </c>
      <c r="M26" s="12">
        <f>VLOOKUP(L26,Table1[],9,FALSE)</f>
        <v>29.2</v>
      </c>
    </row>
    <row r="27" spans="1:13" x14ac:dyDescent="0.35">
      <c r="A27" s="12" t="s">
        <v>11</v>
      </c>
      <c r="B27" s="12">
        <v>2017</v>
      </c>
      <c r="C27" s="12">
        <v>660166</v>
      </c>
      <c r="D27" s="13">
        <v>72.2</v>
      </c>
      <c r="E27" s="13">
        <v>82.8</v>
      </c>
      <c r="F27" s="13">
        <v>12.4</v>
      </c>
      <c r="G27" s="13">
        <v>19.100000000000001</v>
      </c>
      <c r="H27" s="12">
        <v>836</v>
      </c>
      <c r="I27" s="12">
        <v>62.6</v>
      </c>
      <c r="L27" s="12" t="s">
        <v>18</v>
      </c>
      <c r="M27" s="12">
        <f>VLOOKUP(L27,Table1[],9,FALSE)</f>
        <v>76.7</v>
      </c>
    </row>
    <row r="28" spans="1:13" x14ac:dyDescent="0.35">
      <c r="A28" s="12" t="s">
        <v>11</v>
      </c>
      <c r="B28" s="12">
        <v>2018</v>
      </c>
      <c r="C28" s="12">
        <v>706054</v>
      </c>
      <c r="D28" s="13">
        <v>71.099999999999994</v>
      </c>
      <c r="E28" s="13">
        <v>83</v>
      </c>
      <c r="F28" s="13">
        <v>14.7</v>
      </c>
      <c r="G28" s="13">
        <v>20.3</v>
      </c>
      <c r="H28" s="12">
        <v>1033</v>
      </c>
      <c r="I28" s="12">
        <v>52.5</v>
      </c>
      <c r="L28" s="12" t="s">
        <v>19</v>
      </c>
      <c r="M28" s="12">
        <f>VLOOKUP(L28,Table1[],9,FALSE)</f>
        <v>76.5</v>
      </c>
    </row>
    <row r="29" spans="1:13" x14ac:dyDescent="0.35">
      <c r="A29" s="12" t="s">
        <v>11</v>
      </c>
      <c r="B29" s="12">
        <v>2019</v>
      </c>
      <c r="C29" s="12">
        <v>705016</v>
      </c>
      <c r="D29" s="13">
        <v>66</v>
      </c>
      <c r="E29" s="13">
        <v>71.3</v>
      </c>
      <c r="F29" s="13">
        <v>13.7</v>
      </c>
      <c r="G29" s="13">
        <v>29.2</v>
      </c>
      <c r="H29" s="12">
        <v>939</v>
      </c>
      <c r="I29" s="12">
        <v>66.2</v>
      </c>
      <c r="L29" s="12" t="s">
        <v>21</v>
      </c>
      <c r="M29" s="12">
        <f>VLOOKUP(L29,Table1[],9,FALSE)</f>
        <v>75.8</v>
      </c>
    </row>
    <row r="30" spans="1:13" x14ac:dyDescent="0.35">
      <c r="A30" s="12" t="s">
        <v>11</v>
      </c>
      <c r="B30" s="12">
        <v>2020</v>
      </c>
      <c r="C30" s="12">
        <v>720841</v>
      </c>
      <c r="D30" s="13">
        <v>68.8</v>
      </c>
      <c r="E30" s="13">
        <v>74.2</v>
      </c>
      <c r="F30" s="13">
        <v>6.6</v>
      </c>
      <c r="G30" s="13">
        <v>22</v>
      </c>
      <c r="H30" s="12">
        <v>726</v>
      </c>
      <c r="I30" s="12">
        <v>28.2</v>
      </c>
    </row>
    <row r="31" spans="1:13" x14ac:dyDescent="0.35">
      <c r="A31" s="12" t="s">
        <v>11</v>
      </c>
      <c r="B31" s="12">
        <v>2021</v>
      </c>
      <c r="C31" s="12">
        <v>717074</v>
      </c>
      <c r="D31" s="13">
        <v>74.5</v>
      </c>
      <c r="E31" s="13">
        <v>83.7</v>
      </c>
      <c r="F31" s="13">
        <v>6.5</v>
      </c>
      <c r="G31" s="13">
        <v>23.6</v>
      </c>
      <c r="H31" s="12">
        <v>788</v>
      </c>
      <c r="I31" s="12">
        <v>74.400000000000006</v>
      </c>
    </row>
    <row r="32" spans="1:13" x14ac:dyDescent="0.35">
      <c r="A32" s="12" t="s">
        <v>11</v>
      </c>
      <c r="B32" s="12">
        <v>2022</v>
      </c>
      <c r="C32" s="12">
        <v>857282</v>
      </c>
      <c r="D32" s="13">
        <v>74.400000000000006</v>
      </c>
      <c r="E32" s="13">
        <v>79.7</v>
      </c>
      <c r="F32" s="13">
        <v>9.9</v>
      </c>
      <c r="G32" s="13">
        <v>28.8</v>
      </c>
      <c r="H32" s="12">
        <v>702</v>
      </c>
      <c r="I32" s="12">
        <v>62.8</v>
      </c>
    </row>
    <row r="33" spans="1:9" x14ac:dyDescent="0.35">
      <c r="A33" s="12" t="s">
        <v>11</v>
      </c>
      <c r="B33" s="12">
        <v>2023</v>
      </c>
      <c r="C33" s="12">
        <v>783903</v>
      </c>
      <c r="D33" s="13">
        <v>65.900000000000006</v>
      </c>
      <c r="E33" s="13">
        <v>71.7</v>
      </c>
      <c r="F33" s="13">
        <v>17.5</v>
      </c>
      <c r="G33" s="13">
        <v>19.399999999999999</v>
      </c>
      <c r="H33" s="12">
        <v>981</v>
      </c>
      <c r="I33" s="12">
        <v>66.5</v>
      </c>
    </row>
    <row r="34" spans="1:9" x14ac:dyDescent="0.35">
      <c r="A34" s="12" t="s">
        <v>11</v>
      </c>
      <c r="B34" s="12">
        <v>2024</v>
      </c>
      <c r="C34" s="12">
        <v>744967</v>
      </c>
      <c r="D34" s="13">
        <v>73.3</v>
      </c>
      <c r="E34" s="13">
        <v>81.599999999999994</v>
      </c>
      <c r="F34" s="13">
        <v>12.3</v>
      </c>
      <c r="G34" s="13">
        <v>21.2</v>
      </c>
      <c r="H34" s="12">
        <v>760</v>
      </c>
      <c r="I34" s="12">
        <v>25.8</v>
      </c>
    </row>
    <row r="35" spans="1:9" x14ac:dyDescent="0.35">
      <c r="A35" s="12" t="s">
        <v>11</v>
      </c>
      <c r="B35" s="12">
        <v>2025</v>
      </c>
      <c r="C35" s="12">
        <v>757870</v>
      </c>
      <c r="E35" s="13">
        <v>80.400000000000006</v>
      </c>
      <c r="F35" s="13">
        <v>11.7</v>
      </c>
      <c r="G35" s="13">
        <v>23.2</v>
      </c>
      <c r="H35" s="12">
        <v>723</v>
      </c>
      <c r="I35" s="12">
        <v>43.7</v>
      </c>
    </row>
    <row r="36" spans="1:9" x14ac:dyDescent="0.35">
      <c r="A36" s="12" t="s">
        <v>12</v>
      </c>
      <c r="B36" s="12">
        <v>2015</v>
      </c>
      <c r="C36" s="12">
        <v>4956406</v>
      </c>
      <c r="D36" s="13">
        <v>41.3</v>
      </c>
      <c r="E36" s="13">
        <v>49.3</v>
      </c>
      <c r="F36" s="13">
        <v>13.8</v>
      </c>
      <c r="G36" s="13">
        <v>28.8</v>
      </c>
      <c r="H36" s="12">
        <v>444</v>
      </c>
      <c r="I36" s="12">
        <v>72.3</v>
      </c>
    </row>
    <row r="37" spans="1:9" x14ac:dyDescent="0.35">
      <c r="A37" s="12" t="s">
        <v>12</v>
      </c>
      <c r="B37" s="12">
        <v>2016</v>
      </c>
      <c r="C37" s="12">
        <v>5056192</v>
      </c>
      <c r="D37" s="13">
        <v>43.1</v>
      </c>
      <c r="E37" s="13">
        <v>53.8</v>
      </c>
      <c r="F37" s="13">
        <v>9.5</v>
      </c>
      <c r="G37" s="13">
        <v>21.2</v>
      </c>
      <c r="H37" s="12">
        <v>479</v>
      </c>
      <c r="I37" s="12">
        <v>50.1</v>
      </c>
    </row>
    <row r="38" spans="1:9" x14ac:dyDescent="0.35">
      <c r="A38" s="12" t="s">
        <v>12</v>
      </c>
      <c r="B38" s="12">
        <v>2017</v>
      </c>
      <c r="C38" s="12">
        <v>5338478</v>
      </c>
      <c r="D38" s="13">
        <v>42.3</v>
      </c>
      <c r="E38" s="13">
        <v>53.2</v>
      </c>
      <c r="F38" s="13">
        <v>7.5</v>
      </c>
      <c r="G38" s="13">
        <v>26.9</v>
      </c>
      <c r="H38" s="12">
        <v>745</v>
      </c>
      <c r="I38" s="12">
        <v>88.6</v>
      </c>
    </row>
    <row r="39" spans="1:9" x14ac:dyDescent="0.35">
      <c r="A39" s="12" t="s">
        <v>12</v>
      </c>
      <c r="B39" s="12">
        <v>2018</v>
      </c>
      <c r="C39" s="12">
        <v>5384815</v>
      </c>
      <c r="D39" s="13">
        <v>47.6</v>
      </c>
      <c r="E39" s="13">
        <v>58.9</v>
      </c>
      <c r="F39" s="13">
        <v>13.5</v>
      </c>
      <c r="G39" s="13">
        <v>25.2</v>
      </c>
      <c r="H39" s="12">
        <v>380</v>
      </c>
      <c r="I39" s="12">
        <v>70.7</v>
      </c>
    </row>
    <row r="40" spans="1:9" x14ac:dyDescent="0.35">
      <c r="A40" s="12" t="s">
        <v>12</v>
      </c>
      <c r="B40" s="12">
        <v>2019</v>
      </c>
      <c r="C40" s="12">
        <v>5513019</v>
      </c>
      <c r="D40" s="13">
        <v>45.6</v>
      </c>
      <c r="E40" s="13">
        <v>55.6</v>
      </c>
      <c r="F40" s="13">
        <v>17.399999999999999</v>
      </c>
      <c r="G40" s="13">
        <v>26.7</v>
      </c>
      <c r="H40" s="12">
        <v>424</v>
      </c>
      <c r="I40" s="12">
        <v>42.2</v>
      </c>
    </row>
    <row r="41" spans="1:9" x14ac:dyDescent="0.35">
      <c r="A41" s="12" t="s">
        <v>12</v>
      </c>
      <c r="B41" s="12">
        <v>2020</v>
      </c>
      <c r="C41" s="12">
        <v>5401748</v>
      </c>
      <c r="D41" s="13">
        <v>46.2</v>
      </c>
      <c r="E41" s="13">
        <v>51.9</v>
      </c>
      <c r="F41" s="13">
        <v>7.7</v>
      </c>
      <c r="G41" s="13">
        <v>19.600000000000001</v>
      </c>
      <c r="I41" s="12">
        <v>65.2</v>
      </c>
    </row>
    <row r="42" spans="1:9" x14ac:dyDescent="0.35">
      <c r="A42" s="12" t="s">
        <v>12</v>
      </c>
      <c r="B42" s="12">
        <v>2021</v>
      </c>
      <c r="C42" s="12">
        <v>6380550</v>
      </c>
      <c r="D42" s="13">
        <v>46.2</v>
      </c>
      <c r="E42" s="13">
        <v>52.2</v>
      </c>
      <c r="F42" s="13">
        <v>16.5</v>
      </c>
      <c r="G42" s="13">
        <v>18.8</v>
      </c>
      <c r="H42" s="12">
        <v>381</v>
      </c>
      <c r="I42" s="12">
        <v>64.599999999999994</v>
      </c>
    </row>
    <row r="43" spans="1:9" x14ac:dyDescent="0.35">
      <c r="A43" s="12" t="s">
        <v>12</v>
      </c>
      <c r="B43" s="12">
        <v>2022</v>
      </c>
      <c r="C43" s="12">
        <v>5858454</v>
      </c>
      <c r="D43" s="13">
        <v>47.9</v>
      </c>
      <c r="E43" s="13">
        <v>58.9</v>
      </c>
      <c r="F43" s="13">
        <v>11</v>
      </c>
      <c r="G43" s="13">
        <v>22.9</v>
      </c>
      <c r="H43" s="12">
        <v>695</v>
      </c>
      <c r="I43" s="12">
        <v>71.099999999999994</v>
      </c>
    </row>
    <row r="44" spans="1:9" x14ac:dyDescent="0.35">
      <c r="A44" s="12" t="s">
        <v>12</v>
      </c>
      <c r="B44" s="12">
        <v>2023</v>
      </c>
      <c r="C44" s="12">
        <v>6894880</v>
      </c>
      <c r="D44" s="13">
        <v>42.4</v>
      </c>
      <c r="E44" s="13">
        <v>48.5</v>
      </c>
      <c r="F44" s="13">
        <v>10.8</v>
      </c>
      <c r="G44" s="13">
        <v>26.5</v>
      </c>
      <c r="H44" s="12">
        <v>711</v>
      </c>
      <c r="I44" s="12">
        <v>78.7</v>
      </c>
    </row>
    <row r="45" spans="1:9" x14ac:dyDescent="0.35">
      <c r="A45" s="12" t="s">
        <v>12</v>
      </c>
      <c r="B45" s="12">
        <v>2024</v>
      </c>
      <c r="C45" s="12">
        <v>5904734</v>
      </c>
      <c r="D45" s="13">
        <v>45.9</v>
      </c>
      <c r="E45" s="13">
        <v>54.2</v>
      </c>
      <c r="F45" s="13">
        <v>10.7</v>
      </c>
      <c r="G45" s="13">
        <v>21.6</v>
      </c>
      <c r="H45" s="12">
        <v>461</v>
      </c>
      <c r="I45" s="12">
        <v>57.2</v>
      </c>
    </row>
    <row r="46" spans="1:9" x14ac:dyDescent="0.35">
      <c r="A46" s="12" t="s">
        <v>12</v>
      </c>
      <c r="B46" s="12">
        <v>2025</v>
      </c>
      <c r="C46" s="12">
        <v>7381924</v>
      </c>
      <c r="D46" s="13">
        <v>44.8</v>
      </c>
      <c r="E46" s="13">
        <v>56.5</v>
      </c>
      <c r="F46" s="13">
        <v>16.7</v>
      </c>
      <c r="G46" s="13">
        <v>27.6</v>
      </c>
      <c r="H46" s="12">
        <v>515</v>
      </c>
      <c r="I46" s="12">
        <v>33.4</v>
      </c>
    </row>
    <row r="47" spans="1:9" x14ac:dyDescent="0.35">
      <c r="A47" s="12" t="s">
        <v>14</v>
      </c>
      <c r="B47" s="12">
        <v>2015</v>
      </c>
      <c r="C47" s="12">
        <v>4878022</v>
      </c>
      <c r="D47" s="13">
        <v>52.2</v>
      </c>
      <c r="E47" s="13">
        <v>62.1</v>
      </c>
      <c r="F47" s="13">
        <v>7</v>
      </c>
      <c r="G47" s="13">
        <v>18.5</v>
      </c>
      <c r="H47" s="12">
        <v>995</v>
      </c>
      <c r="I47" s="12">
        <v>89.4</v>
      </c>
    </row>
    <row r="48" spans="1:9" x14ac:dyDescent="0.35">
      <c r="A48" s="12" t="s">
        <v>14</v>
      </c>
      <c r="B48" s="12">
        <v>2016</v>
      </c>
      <c r="C48" s="12">
        <v>5073283</v>
      </c>
      <c r="D48" s="13">
        <v>52.2</v>
      </c>
      <c r="E48" s="13">
        <v>57.8</v>
      </c>
      <c r="F48" s="13">
        <v>14.7</v>
      </c>
      <c r="G48" s="13">
        <v>18.899999999999999</v>
      </c>
      <c r="H48" s="12">
        <v>1165</v>
      </c>
      <c r="I48" s="12">
        <v>77.5</v>
      </c>
    </row>
    <row r="49" spans="1:9" x14ac:dyDescent="0.35">
      <c r="A49" s="12" t="s">
        <v>14</v>
      </c>
      <c r="B49" s="12">
        <v>2017</v>
      </c>
      <c r="C49" s="12">
        <v>5214426</v>
      </c>
      <c r="D49" s="13">
        <v>48.4</v>
      </c>
      <c r="E49" s="13">
        <v>58.2</v>
      </c>
      <c r="F49" s="13">
        <v>12.5</v>
      </c>
      <c r="G49" s="13">
        <v>27.7</v>
      </c>
      <c r="H49" s="12">
        <v>1346</v>
      </c>
      <c r="I49" s="12">
        <v>35.200000000000003</v>
      </c>
    </row>
    <row r="50" spans="1:9" x14ac:dyDescent="0.35">
      <c r="A50" s="12" t="s">
        <v>14</v>
      </c>
      <c r="B50" s="12">
        <v>2018</v>
      </c>
      <c r="C50" s="12">
        <v>5417498</v>
      </c>
      <c r="D50" s="13">
        <v>51.2</v>
      </c>
      <c r="E50" s="13">
        <v>62.9</v>
      </c>
      <c r="F50" s="13">
        <v>10.6</v>
      </c>
      <c r="G50" s="13">
        <v>30.8</v>
      </c>
      <c r="H50" s="12">
        <v>1252</v>
      </c>
      <c r="I50" s="12">
        <v>72.400000000000006</v>
      </c>
    </row>
    <row r="51" spans="1:9" x14ac:dyDescent="0.35">
      <c r="A51" s="12" t="s">
        <v>14</v>
      </c>
      <c r="B51" s="12">
        <v>2019</v>
      </c>
      <c r="C51" s="12">
        <v>5221223</v>
      </c>
      <c r="D51" s="13">
        <v>47</v>
      </c>
      <c r="E51" s="13">
        <v>58.6</v>
      </c>
      <c r="F51" s="13">
        <v>7.1</v>
      </c>
      <c r="G51" s="13">
        <v>30.2</v>
      </c>
      <c r="H51" s="12">
        <v>1210</v>
      </c>
      <c r="I51" s="12">
        <v>36.6</v>
      </c>
    </row>
    <row r="52" spans="1:9" x14ac:dyDescent="0.35">
      <c r="A52" s="12" t="s">
        <v>14</v>
      </c>
      <c r="B52" s="12">
        <v>2020</v>
      </c>
      <c r="C52" s="12">
        <v>5519542</v>
      </c>
      <c r="D52" s="13">
        <v>48.9</v>
      </c>
      <c r="E52" s="13">
        <v>57.3</v>
      </c>
      <c r="F52" s="13">
        <v>7.9</v>
      </c>
      <c r="G52" s="13">
        <v>22.6</v>
      </c>
      <c r="H52" s="12">
        <v>980</v>
      </c>
      <c r="I52" s="12">
        <v>46.2</v>
      </c>
    </row>
    <row r="53" spans="1:9" x14ac:dyDescent="0.35">
      <c r="A53" s="12" t="s">
        <v>14</v>
      </c>
      <c r="B53" s="12">
        <v>2021</v>
      </c>
      <c r="C53" s="12">
        <v>5915174</v>
      </c>
      <c r="D53" s="13">
        <v>47.1</v>
      </c>
      <c r="E53" s="13">
        <v>53.3</v>
      </c>
      <c r="F53" s="13">
        <v>9.4</v>
      </c>
      <c r="G53" s="13">
        <v>28.7</v>
      </c>
      <c r="H53" s="12">
        <v>1407</v>
      </c>
      <c r="I53" s="12">
        <v>52.2</v>
      </c>
    </row>
    <row r="54" spans="1:9" x14ac:dyDescent="0.35">
      <c r="A54" s="12" t="s">
        <v>14</v>
      </c>
      <c r="B54" s="12">
        <v>2022</v>
      </c>
      <c r="C54" s="12">
        <v>6366813</v>
      </c>
      <c r="D54" s="13">
        <v>51.2</v>
      </c>
      <c r="E54" s="13">
        <v>62.9</v>
      </c>
      <c r="F54" s="13">
        <v>12.4</v>
      </c>
      <c r="G54" s="13">
        <v>24.8</v>
      </c>
      <c r="H54" s="12">
        <v>1348</v>
      </c>
      <c r="I54" s="12">
        <v>60.8</v>
      </c>
    </row>
    <row r="55" spans="1:9" x14ac:dyDescent="0.35">
      <c r="A55" s="12" t="s">
        <v>14</v>
      </c>
      <c r="B55" s="12">
        <v>2023</v>
      </c>
      <c r="C55" s="12">
        <v>6848854</v>
      </c>
      <c r="D55" s="13">
        <v>50.5</v>
      </c>
      <c r="E55" s="13">
        <v>61.2</v>
      </c>
      <c r="F55" s="13">
        <v>16.2</v>
      </c>
      <c r="G55" s="13">
        <v>23.1</v>
      </c>
      <c r="H55" s="12">
        <v>989</v>
      </c>
      <c r="I55" s="12">
        <v>53.9</v>
      </c>
    </row>
    <row r="56" spans="1:9" x14ac:dyDescent="0.35">
      <c r="A56" s="12" t="s">
        <v>14</v>
      </c>
      <c r="B56" s="12">
        <v>2024</v>
      </c>
      <c r="C56" s="12">
        <v>6231838</v>
      </c>
      <c r="D56" s="13">
        <v>48.6</v>
      </c>
      <c r="E56" s="13">
        <v>54.8</v>
      </c>
      <c r="F56" s="13">
        <v>7.9</v>
      </c>
      <c r="G56" s="13">
        <v>24.1</v>
      </c>
      <c r="H56" s="12">
        <v>1271</v>
      </c>
      <c r="I56" s="12">
        <v>55.4</v>
      </c>
    </row>
    <row r="57" spans="1:9" x14ac:dyDescent="0.35">
      <c r="A57" s="12" t="s">
        <v>14</v>
      </c>
      <c r="B57" s="12">
        <v>2025</v>
      </c>
      <c r="C57" s="12">
        <v>6745298</v>
      </c>
      <c r="D57" s="13">
        <v>43.2</v>
      </c>
      <c r="E57" s="13">
        <v>52.6</v>
      </c>
      <c r="F57" s="13">
        <v>12.5</v>
      </c>
      <c r="G57" s="13">
        <v>28.6</v>
      </c>
      <c r="H57" s="12">
        <v>1133</v>
      </c>
      <c r="I57" s="12">
        <v>36.9</v>
      </c>
    </row>
    <row r="58" spans="1:9" x14ac:dyDescent="0.35">
      <c r="A58" s="12" t="s">
        <v>23</v>
      </c>
      <c r="B58" s="12">
        <v>2015</v>
      </c>
      <c r="C58" s="12">
        <v>727385</v>
      </c>
      <c r="E58" s="13">
        <v>90.5</v>
      </c>
      <c r="F58" s="13">
        <v>6.7</v>
      </c>
      <c r="G58" s="13">
        <v>27.9</v>
      </c>
      <c r="H58" s="12">
        <v>1440</v>
      </c>
      <c r="I58" s="12">
        <v>74.900000000000006</v>
      </c>
    </row>
    <row r="59" spans="1:9" x14ac:dyDescent="0.35">
      <c r="A59" s="12" t="s">
        <v>23</v>
      </c>
      <c r="B59" s="12">
        <v>2016</v>
      </c>
      <c r="C59" s="12">
        <v>743652</v>
      </c>
      <c r="D59" s="13">
        <v>74.2</v>
      </c>
      <c r="E59" s="13">
        <v>82.4</v>
      </c>
      <c r="F59" s="13">
        <v>14.2</v>
      </c>
      <c r="G59" s="13">
        <v>22.6</v>
      </c>
      <c r="I59" s="12">
        <v>66</v>
      </c>
    </row>
    <row r="60" spans="1:9" x14ac:dyDescent="0.35">
      <c r="A60" s="12" t="s">
        <v>23</v>
      </c>
      <c r="B60" s="12">
        <v>2017</v>
      </c>
      <c r="C60" s="12">
        <v>755623</v>
      </c>
      <c r="D60" s="13">
        <v>80.900000000000006</v>
      </c>
      <c r="E60" s="13">
        <v>86.7</v>
      </c>
      <c r="F60" s="13">
        <v>16.8</v>
      </c>
      <c r="G60" s="13">
        <v>27.3</v>
      </c>
      <c r="H60" s="12">
        <v>1598</v>
      </c>
      <c r="I60" s="12">
        <v>75.5</v>
      </c>
    </row>
    <row r="61" spans="1:9" x14ac:dyDescent="0.35">
      <c r="A61" s="12" t="s">
        <v>23</v>
      </c>
      <c r="B61" s="12">
        <v>2018</v>
      </c>
      <c r="C61" s="12">
        <v>820433</v>
      </c>
      <c r="D61" s="13">
        <v>77.3</v>
      </c>
      <c r="E61" s="13">
        <v>85.3</v>
      </c>
      <c r="F61" s="13">
        <v>15.8</v>
      </c>
      <c r="G61" s="13">
        <v>19.399999999999999</v>
      </c>
      <c r="H61" s="12">
        <v>1696</v>
      </c>
      <c r="I61" s="12">
        <v>72</v>
      </c>
    </row>
    <row r="62" spans="1:9" x14ac:dyDescent="0.35">
      <c r="A62" s="12" t="s">
        <v>23</v>
      </c>
      <c r="B62" s="12">
        <v>2019</v>
      </c>
      <c r="C62" s="12">
        <v>778415</v>
      </c>
      <c r="D62" s="13">
        <v>79.8</v>
      </c>
      <c r="E62" s="13">
        <v>87.1</v>
      </c>
      <c r="F62" s="13">
        <v>12.6</v>
      </c>
      <c r="G62" s="13">
        <v>20.6</v>
      </c>
      <c r="I62" s="12">
        <v>63.1</v>
      </c>
    </row>
    <row r="63" spans="1:9" x14ac:dyDescent="0.35">
      <c r="A63" s="12" t="s">
        <v>23</v>
      </c>
      <c r="B63" s="12">
        <v>2020</v>
      </c>
      <c r="C63" s="12">
        <v>802481</v>
      </c>
      <c r="D63" s="13">
        <v>78.8</v>
      </c>
      <c r="E63" s="13">
        <v>86.5</v>
      </c>
      <c r="F63" s="13">
        <v>10.7</v>
      </c>
      <c r="G63" s="13">
        <v>28.3</v>
      </c>
      <c r="H63" s="12">
        <v>1459</v>
      </c>
      <c r="I63" s="12">
        <v>83.7</v>
      </c>
    </row>
    <row r="64" spans="1:9" x14ac:dyDescent="0.35">
      <c r="A64" s="12" t="s">
        <v>23</v>
      </c>
      <c r="B64" s="12">
        <v>2021</v>
      </c>
      <c r="C64" s="12">
        <v>802941</v>
      </c>
      <c r="D64" s="13">
        <v>82.4</v>
      </c>
      <c r="E64" s="13">
        <v>88</v>
      </c>
      <c r="F64" s="13">
        <v>9.1</v>
      </c>
      <c r="G64" s="13">
        <v>28.1</v>
      </c>
      <c r="H64" s="12">
        <v>1693</v>
      </c>
      <c r="I64" s="12">
        <v>64.900000000000006</v>
      </c>
    </row>
    <row r="65" spans="1:9" x14ac:dyDescent="0.35">
      <c r="A65" s="12" t="s">
        <v>23</v>
      </c>
      <c r="B65" s="12">
        <v>2022</v>
      </c>
      <c r="C65" s="12">
        <v>836881</v>
      </c>
      <c r="D65" s="13">
        <v>78.5</v>
      </c>
      <c r="E65" s="13">
        <v>87.4</v>
      </c>
      <c r="F65" s="13">
        <v>16.7</v>
      </c>
      <c r="G65" s="13">
        <v>26.9</v>
      </c>
      <c r="H65" s="12">
        <v>1714</v>
      </c>
      <c r="I65" s="12">
        <v>39.9</v>
      </c>
    </row>
    <row r="66" spans="1:9" x14ac:dyDescent="0.35">
      <c r="A66" s="12" t="s">
        <v>23</v>
      </c>
      <c r="B66" s="12">
        <v>2023</v>
      </c>
      <c r="C66" s="12">
        <v>995776</v>
      </c>
      <c r="D66" s="13">
        <v>78.8</v>
      </c>
      <c r="E66" s="13">
        <v>89.1</v>
      </c>
      <c r="F66" s="13">
        <v>14.5</v>
      </c>
      <c r="G66" s="13">
        <v>28.5</v>
      </c>
      <c r="H66" s="12">
        <v>1766</v>
      </c>
      <c r="I66" s="12">
        <v>62.1</v>
      </c>
    </row>
    <row r="67" spans="1:9" x14ac:dyDescent="0.35">
      <c r="A67" s="12" t="s">
        <v>23</v>
      </c>
      <c r="B67" s="12">
        <v>2024</v>
      </c>
      <c r="C67" s="12">
        <v>1000416</v>
      </c>
      <c r="D67" s="13">
        <v>75.900000000000006</v>
      </c>
      <c r="E67" s="13">
        <v>83.7</v>
      </c>
      <c r="F67" s="13">
        <v>6.9</v>
      </c>
      <c r="G67" s="13">
        <v>26.9</v>
      </c>
      <c r="H67" s="12">
        <v>1357</v>
      </c>
      <c r="I67" s="12">
        <v>64.3</v>
      </c>
    </row>
    <row r="68" spans="1:9" x14ac:dyDescent="0.35">
      <c r="A68" s="12" t="s">
        <v>23</v>
      </c>
      <c r="B68" s="12">
        <v>2025</v>
      </c>
      <c r="C68" s="12">
        <v>1097836</v>
      </c>
      <c r="D68" s="13">
        <v>82.7</v>
      </c>
      <c r="E68" s="13">
        <v>93.7</v>
      </c>
      <c r="F68" s="13">
        <v>9.9</v>
      </c>
      <c r="G68" s="13">
        <v>29.5</v>
      </c>
      <c r="H68" s="12">
        <v>1654</v>
      </c>
      <c r="I68" s="12">
        <v>86.1</v>
      </c>
    </row>
    <row r="69" spans="1:9" x14ac:dyDescent="0.35">
      <c r="A69" s="12" t="s">
        <v>16</v>
      </c>
      <c r="B69" s="12">
        <v>2015</v>
      </c>
      <c r="C69" s="12">
        <v>3649697</v>
      </c>
      <c r="D69" s="13">
        <v>69.2</v>
      </c>
      <c r="E69" s="13">
        <v>74.8</v>
      </c>
      <c r="F69" s="13">
        <v>12.2</v>
      </c>
      <c r="G69" s="13">
        <v>18.8</v>
      </c>
      <c r="H69" s="12">
        <v>1518</v>
      </c>
      <c r="I69" s="12">
        <v>29.2</v>
      </c>
    </row>
    <row r="70" spans="1:9" x14ac:dyDescent="0.35">
      <c r="A70" s="12" t="s">
        <v>16</v>
      </c>
      <c r="B70" s="12">
        <v>2016</v>
      </c>
      <c r="C70" s="12">
        <v>3735795</v>
      </c>
      <c r="D70" s="13">
        <v>68.7</v>
      </c>
      <c r="E70" s="13">
        <v>79.099999999999994</v>
      </c>
      <c r="F70" s="13">
        <v>7.6</v>
      </c>
      <c r="G70" s="13">
        <v>25.4</v>
      </c>
      <c r="H70" s="12">
        <v>1553</v>
      </c>
      <c r="I70" s="12">
        <v>80</v>
      </c>
    </row>
    <row r="71" spans="1:9" x14ac:dyDescent="0.35">
      <c r="A71" s="12" t="s">
        <v>16</v>
      </c>
      <c r="B71" s="12">
        <v>2017</v>
      </c>
      <c r="C71" s="12">
        <v>3929516</v>
      </c>
      <c r="D71" s="13">
        <v>69.5</v>
      </c>
      <c r="E71" s="13">
        <v>77.3</v>
      </c>
      <c r="F71" s="13">
        <v>7.4</v>
      </c>
      <c r="G71" s="13">
        <v>26</v>
      </c>
      <c r="H71" s="12">
        <v>1159</v>
      </c>
      <c r="I71" s="12">
        <v>35.6</v>
      </c>
    </row>
    <row r="72" spans="1:9" x14ac:dyDescent="0.35">
      <c r="A72" s="12" t="s">
        <v>16</v>
      </c>
      <c r="B72" s="12">
        <v>2018</v>
      </c>
      <c r="C72" s="12">
        <v>3874823</v>
      </c>
      <c r="D72" s="13">
        <v>68.400000000000006</v>
      </c>
      <c r="E72" s="13">
        <v>78.8</v>
      </c>
      <c r="F72" s="13">
        <v>13.9</v>
      </c>
      <c r="G72" s="13">
        <v>26.3</v>
      </c>
      <c r="H72" s="12">
        <v>1177</v>
      </c>
      <c r="I72" s="12">
        <v>53.7</v>
      </c>
    </row>
    <row r="73" spans="1:9" x14ac:dyDescent="0.35">
      <c r="A73" s="12" t="s">
        <v>16</v>
      </c>
      <c r="B73" s="12">
        <v>2019</v>
      </c>
      <c r="C73" s="12">
        <v>4340384</v>
      </c>
      <c r="D73" s="13">
        <v>65.3</v>
      </c>
      <c r="E73" s="13">
        <v>74</v>
      </c>
      <c r="F73" s="13">
        <v>16.7</v>
      </c>
      <c r="G73" s="13">
        <v>25.1</v>
      </c>
      <c r="H73" s="12">
        <v>1306</v>
      </c>
      <c r="I73" s="12">
        <v>73.3</v>
      </c>
    </row>
    <row r="74" spans="1:9" x14ac:dyDescent="0.35">
      <c r="A74" s="12" t="s">
        <v>16</v>
      </c>
      <c r="B74" s="12">
        <v>2020</v>
      </c>
      <c r="C74" s="12">
        <v>4209152</v>
      </c>
      <c r="D74" s="13">
        <v>68.3</v>
      </c>
      <c r="E74" s="13">
        <v>75.099999999999994</v>
      </c>
      <c r="F74" s="13">
        <v>6.8</v>
      </c>
      <c r="G74" s="13">
        <v>30.9</v>
      </c>
      <c r="H74" s="12">
        <v>1297</v>
      </c>
      <c r="I74" s="12">
        <v>67.400000000000006</v>
      </c>
    </row>
    <row r="75" spans="1:9" x14ac:dyDescent="0.35">
      <c r="A75" s="12" t="s">
        <v>16</v>
      </c>
      <c r="B75" s="12">
        <v>2021</v>
      </c>
      <c r="C75" s="12">
        <v>4455350</v>
      </c>
      <c r="D75" s="13">
        <v>68.099999999999994</v>
      </c>
      <c r="E75" s="13">
        <v>74.3</v>
      </c>
      <c r="F75" s="13">
        <v>11.1</v>
      </c>
      <c r="G75" s="13">
        <v>19.5</v>
      </c>
      <c r="H75" s="12">
        <v>1432</v>
      </c>
      <c r="I75" s="12">
        <v>65.099999999999994</v>
      </c>
    </row>
    <row r="76" spans="1:9" x14ac:dyDescent="0.35">
      <c r="A76" s="12" t="s">
        <v>16</v>
      </c>
      <c r="B76" s="12">
        <v>2022</v>
      </c>
      <c r="C76" s="12">
        <v>4894670</v>
      </c>
      <c r="E76" s="13">
        <v>76.5</v>
      </c>
      <c r="F76" s="13">
        <v>9.1999999999999993</v>
      </c>
      <c r="G76" s="13">
        <v>20.5</v>
      </c>
      <c r="H76" s="12">
        <v>1475</v>
      </c>
      <c r="I76" s="12">
        <v>68.599999999999994</v>
      </c>
    </row>
    <row r="77" spans="1:9" x14ac:dyDescent="0.35">
      <c r="A77" s="12" t="s">
        <v>16</v>
      </c>
      <c r="B77" s="12">
        <v>2023</v>
      </c>
      <c r="C77" s="12">
        <v>4661908</v>
      </c>
      <c r="D77" s="13">
        <v>70.5</v>
      </c>
      <c r="E77" s="13">
        <v>77.599999999999994</v>
      </c>
      <c r="F77" s="13">
        <v>6.7</v>
      </c>
      <c r="G77" s="13">
        <v>30</v>
      </c>
      <c r="H77" s="12">
        <v>1536</v>
      </c>
      <c r="I77" s="12">
        <v>48.7</v>
      </c>
    </row>
    <row r="78" spans="1:9" x14ac:dyDescent="0.35">
      <c r="A78" s="12" t="s">
        <v>16</v>
      </c>
      <c r="B78" s="12">
        <v>2024</v>
      </c>
      <c r="C78" s="12">
        <v>5381662</v>
      </c>
      <c r="D78" s="13">
        <v>68.5</v>
      </c>
      <c r="E78" s="13">
        <v>74</v>
      </c>
      <c r="F78" s="13">
        <v>6.8</v>
      </c>
      <c r="G78" s="13">
        <v>25.3</v>
      </c>
      <c r="H78" s="12">
        <v>1374</v>
      </c>
      <c r="I78" s="12">
        <v>75.900000000000006</v>
      </c>
    </row>
    <row r="79" spans="1:9" x14ac:dyDescent="0.35">
      <c r="A79" s="12" t="s">
        <v>16</v>
      </c>
      <c r="B79" s="12">
        <v>2025</v>
      </c>
      <c r="C79" s="12">
        <v>5156368</v>
      </c>
      <c r="D79" s="13">
        <v>65.5</v>
      </c>
      <c r="E79" s="13">
        <v>75.099999999999994</v>
      </c>
      <c r="F79" s="13">
        <v>12</v>
      </c>
      <c r="G79" s="13">
        <v>22.4</v>
      </c>
      <c r="H79" s="12">
        <v>1455</v>
      </c>
      <c r="I79" s="12">
        <v>70.3</v>
      </c>
    </row>
    <row r="80" spans="1:9" x14ac:dyDescent="0.35">
      <c r="A80" s="12" t="s">
        <v>18</v>
      </c>
      <c r="B80" s="12">
        <v>2015</v>
      </c>
      <c r="C80" s="12">
        <v>4589973</v>
      </c>
      <c r="D80" s="13">
        <v>45.8</v>
      </c>
      <c r="E80" s="13">
        <v>57.3</v>
      </c>
      <c r="F80" s="13">
        <v>13.8</v>
      </c>
      <c r="G80" s="13">
        <v>28.6</v>
      </c>
      <c r="H80" s="12">
        <v>1384</v>
      </c>
      <c r="I80" s="12">
        <v>76.7</v>
      </c>
    </row>
    <row r="81" spans="1:9" x14ac:dyDescent="0.35">
      <c r="A81" s="12" t="s">
        <v>18</v>
      </c>
      <c r="B81" s="12">
        <v>2016</v>
      </c>
      <c r="C81" s="12">
        <v>4705662</v>
      </c>
      <c r="D81" s="13">
        <v>40.9</v>
      </c>
      <c r="E81" s="13">
        <v>49</v>
      </c>
      <c r="F81" s="13">
        <v>16.3</v>
      </c>
      <c r="G81" s="13">
        <v>20.3</v>
      </c>
      <c r="H81" s="12">
        <v>1312</v>
      </c>
      <c r="I81" s="12">
        <v>74.7</v>
      </c>
    </row>
    <row r="82" spans="1:9" x14ac:dyDescent="0.35">
      <c r="A82" s="12" t="s">
        <v>18</v>
      </c>
      <c r="B82" s="12">
        <v>2017</v>
      </c>
      <c r="C82" s="12">
        <v>4809361</v>
      </c>
      <c r="D82" s="13">
        <v>41.6</v>
      </c>
      <c r="E82" s="13">
        <v>52.9</v>
      </c>
      <c r="F82" s="13">
        <v>12.9</v>
      </c>
      <c r="G82" s="13">
        <v>30.7</v>
      </c>
      <c r="I82" s="12">
        <v>70.2</v>
      </c>
    </row>
    <row r="83" spans="1:9" x14ac:dyDescent="0.35">
      <c r="A83" s="12" t="s">
        <v>18</v>
      </c>
      <c r="B83" s="12">
        <v>2018</v>
      </c>
      <c r="C83" s="12">
        <v>4880124</v>
      </c>
      <c r="D83" s="13">
        <v>40.5</v>
      </c>
      <c r="E83" s="13">
        <v>49.5</v>
      </c>
      <c r="F83" s="13">
        <v>15.3</v>
      </c>
      <c r="G83" s="13">
        <v>18.2</v>
      </c>
      <c r="H83" s="12">
        <v>1249</v>
      </c>
      <c r="I83" s="12">
        <v>44.2</v>
      </c>
    </row>
    <row r="84" spans="1:9" x14ac:dyDescent="0.35">
      <c r="A84" s="12" t="s">
        <v>18</v>
      </c>
      <c r="B84" s="12">
        <v>2019</v>
      </c>
      <c r="C84" s="12">
        <v>5164668</v>
      </c>
      <c r="D84" s="13">
        <v>49.9</v>
      </c>
      <c r="E84" s="13">
        <v>61.7</v>
      </c>
      <c r="F84" s="13">
        <v>15</v>
      </c>
      <c r="G84" s="13">
        <v>30.3</v>
      </c>
      <c r="H84" s="12">
        <v>1117</v>
      </c>
      <c r="I84" s="12">
        <v>28.1</v>
      </c>
    </row>
    <row r="85" spans="1:9" x14ac:dyDescent="0.35">
      <c r="A85" s="12" t="s">
        <v>18</v>
      </c>
      <c r="B85" s="12">
        <v>2020</v>
      </c>
      <c r="C85" s="12">
        <v>5602648</v>
      </c>
      <c r="E85" s="13">
        <v>52.7</v>
      </c>
      <c r="F85" s="13">
        <v>17.7</v>
      </c>
      <c r="G85" s="13">
        <v>25.4</v>
      </c>
      <c r="H85" s="12">
        <v>1400</v>
      </c>
      <c r="I85" s="12">
        <v>66.5</v>
      </c>
    </row>
    <row r="86" spans="1:9" x14ac:dyDescent="0.35">
      <c r="A86" s="12" t="s">
        <v>18</v>
      </c>
      <c r="B86" s="12">
        <v>2021</v>
      </c>
      <c r="C86" s="12">
        <v>5948804</v>
      </c>
      <c r="D86" s="13">
        <v>47.7</v>
      </c>
      <c r="E86" s="13">
        <v>56.8</v>
      </c>
      <c r="F86" s="13">
        <v>10.9</v>
      </c>
      <c r="G86" s="13">
        <v>25.8</v>
      </c>
      <c r="H86" s="12">
        <v>1211</v>
      </c>
      <c r="I86" s="12">
        <v>49.7</v>
      </c>
    </row>
    <row r="87" spans="1:9" x14ac:dyDescent="0.35">
      <c r="A87" s="12" t="s">
        <v>18</v>
      </c>
      <c r="B87" s="12">
        <v>2022</v>
      </c>
      <c r="C87" s="12">
        <v>5741515</v>
      </c>
      <c r="D87" s="13">
        <v>48.7</v>
      </c>
      <c r="E87" s="13">
        <v>53.8</v>
      </c>
      <c r="F87" s="13">
        <v>16</v>
      </c>
      <c r="G87" s="13">
        <v>19.899999999999999</v>
      </c>
      <c r="H87" s="12">
        <v>1031</v>
      </c>
      <c r="I87" s="12">
        <v>38.299999999999997</v>
      </c>
    </row>
    <row r="88" spans="1:9" x14ac:dyDescent="0.35">
      <c r="A88" s="12" t="s">
        <v>18</v>
      </c>
      <c r="B88" s="12">
        <v>2023</v>
      </c>
      <c r="C88" s="12">
        <v>5244119</v>
      </c>
      <c r="D88" s="13">
        <v>44.5</v>
      </c>
      <c r="E88" s="13">
        <v>53.9</v>
      </c>
      <c r="F88" s="13">
        <v>14.4</v>
      </c>
      <c r="G88" s="13">
        <v>20.3</v>
      </c>
      <c r="H88" s="12">
        <v>1257</v>
      </c>
      <c r="I88" s="12">
        <v>78</v>
      </c>
    </row>
    <row r="89" spans="1:9" x14ac:dyDescent="0.35">
      <c r="A89" s="12" t="s">
        <v>18</v>
      </c>
      <c r="B89" s="12">
        <v>2024</v>
      </c>
      <c r="C89" s="12">
        <v>6597293</v>
      </c>
      <c r="D89" s="13">
        <v>47.9</v>
      </c>
      <c r="E89" s="13">
        <v>56.3</v>
      </c>
      <c r="F89" s="13">
        <v>17.600000000000001</v>
      </c>
      <c r="G89" s="13">
        <v>19.2</v>
      </c>
      <c r="H89" s="12">
        <v>1028</v>
      </c>
      <c r="I89" s="12">
        <v>55.7</v>
      </c>
    </row>
    <row r="90" spans="1:9" x14ac:dyDescent="0.35">
      <c r="A90" s="12" t="s">
        <v>18</v>
      </c>
      <c r="B90" s="12">
        <v>2025</v>
      </c>
      <c r="C90" s="12">
        <v>6551347</v>
      </c>
      <c r="D90" s="13">
        <v>42.9</v>
      </c>
      <c r="E90" s="13">
        <v>51.2</v>
      </c>
      <c r="F90" s="13">
        <v>16.600000000000001</v>
      </c>
      <c r="G90" s="13">
        <v>18.600000000000001</v>
      </c>
      <c r="I90" s="12">
        <v>30.1</v>
      </c>
    </row>
    <row r="91" spans="1:9" x14ac:dyDescent="0.35">
      <c r="A91" s="12" t="s">
        <v>19</v>
      </c>
      <c r="B91" s="12">
        <v>2015</v>
      </c>
      <c r="C91" s="12">
        <v>1929776</v>
      </c>
      <c r="E91" s="13">
        <v>60.2</v>
      </c>
      <c r="F91" s="13">
        <v>16.600000000000001</v>
      </c>
      <c r="G91" s="13">
        <v>30.4</v>
      </c>
      <c r="H91" s="12">
        <v>735</v>
      </c>
      <c r="I91" s="12">
        <v>76.5</v>
      </c>
    </row>
    <row r="92" spans="1:9" x14ac:dyDescent="0.35">
      <c r="A92" s="12" t="s">
        <v>19</v>
      </c>
      <c r="B92" s="12">
        <v>2016</v>
      </c>
      <c r="C92" s="12">
        <v>1988523</v>
      </c>
      <c r="D92" s="13">
        <v>54.1</v>
      </c>
      <c r="E92" s="13">
        <v>61.2</v>
      </c>
      <c r="F92" s="13">
        <v>13.3</v>
      </c>
      <c r="G92" s="13">
        <v>21.3</v>
      </c>
      <c r="H92" s="12">
        <v>488</v>
      </c>
      <c r="I92" s="12">
        <v>26</v>
      </c>
    </row>
    <row r="93" spans="1:9" x14ac:dyDescent="0.35">
      <c r="A93" s="12" t="s">
        <v>19</v>
      </c>
      <c r="B93" s="12">
        <v>2017</v>
      </c>
      <c r="C93" s="12">
        <v>2032585</v>
      </c>
      <c r="D93" s="13">
        <v>53.4</v>
      </c>
      <c r="E93" s="13">
        <v>60.3</v>
      </c>
      <c r="F93" s="13">
        <v>10.3</v>
      </c>
      <c r="G93" s="13">
        <v>25.1</v>
      </c>
      <c r="H93" s="12">
        <v>315</v>
      </c>
      <c r="I93" s="12">
        <v>46.3</v>
      </c>
    </row>
    <row r="94" spans="1:9" x14ac:dyDescent="0.35">
      <c r="A94" s="12" t="s">
        <v>19</v>
      </c>
      <c r="B94" s="12">
        <v>2018</v>
      </c>
      <c r="C94" s="12">
        <v>2046338</v>
      </c>
      <c r="D94" s="13">
        <v>57.1</v>
      </c>
      <c r="E94" s="13">
        <v>64.599999999999994</v>
      </c>
      <c r="F94" s="13">
        <v>7.1</v>
      </c>
      <c r="G94" s="13">
        <v>22.1</v>
      </c>
      <c r="I94" s="12">
        <v>44.9</v>
      </c>
    </row>
    <row r="95" spans="1:9" x14ac:dyDescent="0.35">
      <c r="A95" s="12" t="s">
        <v>19</v>
      </c>
      <c r="B95" s="12">
        <v>2019</v>
      </c>
      <c r="C95" s="12">
        <v>2075757</v>
      </c>
      <c r="D95" s="13">
        <v>55.5</v>
      </c>
      <c r="E95" s="13">
        <v>61.4</v>
      </c>
      <c r="F95" s="13">
        <v>10.4</v>
      </c>
      <c r="G95" s="13">
        <v>30.8</v>
      </c>
      <c r="H95" s="12">
        <v>732</v>
      </c>
      <c r="I95" s="12">
        <v>27</v>
      </c>
    </row>
    <row r="96" spans="1:9" x14ac:dyDescent="0.35">
      <c r="A96" s="12" t="s">
        <v>19</v>
      </c>
      <c r="B96" s="12">
        <v>2020</v>
      </c>
      <c r="C96" s="12">
        <v>2251682</v>
      </c>
      <c r="D96" s="13">
        <v>56.8</v>
      </c>
      <c r="E96" s="13">
        <v>66.400000000000006</v>
      </c>
      <c r="F96" s="13">
        <v>10.6</v>
      </c>
      <c r="G96" s="13">
        <v>25.1</v>
      </c>
      <c r="H96" s="12">
        <v>710</v>
      </c>
      <c r="I96" s="12">
        <v>81.599999999999994</v>
      </c>
    </row>
    <row r="97" spans="1:9" x14ac:dyDescent="0.35">
      <c r="A97" s="12" t="s">
        <v>19</v>
      </c>
      <c r="B97" s="12">
        <v>2021</v>
      </c>
      <c r="C97" s="12">
        <v>2113015</v>
      </c>
      <c r="D97" s="13">
        <v>56.6</v>
      </c>
      <c r="E97" s="13">
        <v>68.400000000000006</v>
      </c>
      <c r="F97" s="13">
        <v>7.5</v>
      </c>
      <c r="G97" s="13">
        <v>20.5</v>
      </c>
      <c r="H97" s="12">
        <v>467</v>
      </c>
      <c r="I97" s="12">
        <v>87.1</v>
      </c>
    </row>
    <row r="98" spans="1:9" x14ac:dyDescent="0.35">
      <c r="A98" s="12" t="s">
        <v>19</v>
      </c>
      <c r="B98" s="12">
        <v>2022</v>
      </c>
      <c r="C98" s="12">
        <v>2469704</v>
      </c>
      <c r="D98" s="13">
        <v>49</v>
      </c>
      <c r="E98" s="13">
        <v>56.7</v>
      </c>
      <c r="F98" s="13">
        <v>7.7</v>
      </c>
      <c r="G98" s="13">
        <v>22.3</v>
      </c>
      <c r="H98" s="12">
        <v>636</v>
      </c>
      <c r="I98" s="12">
        <v>44.5</v>
      </c>
    </row>
    <row r="99" spans="1:9" x14ac:dyDescent="0.35">
      <c r="A99" s="12" t="s">
        <v>19</v>
      </c>
      <c r="B99" s="12">
        <v>2023</v>
      </c>
      <c r="C99" s="12">
        <v>2207461</v>
      </c>
      <c r="D99" s="13">
        <v>51.8</v>
      </c>
      <c r="E99" s="13">
        <v>57.9</v>
      </c>
      <c r="F99" s="13">
        <v>14.4</v>
      </c>
      <c r="G99" s="13">
        <v>30.5</v>
      </c>
      <c r="H99" s="12">
        <v>475</v>
      </c>
      <c r="I99" s="12">
        <v>49.2</v>
      </c>
    </row>
    <row r="100" spans="1:9" x14ac:dyDescent="0.35">
      <c r="A100" s="12" t="s">
        <v>19</v>
      </c>
      <c r="B100" s="12">
        <v>2024</v>
      </c>
      <c r="C100" s="12">
        <v>2584336</v>
      </c>
      <c r="D100" s="13">
        <v>57.3</v>
      </c>
      <c r="E100" s="13">
        <v>62.8</v>
      </c>
      <c r="F100" s="13">
        <v>17.5</v>
      </c>
      <c r="G100" s="13">
        <v>23.4</v>
      </c>
      <c r="H100" s="12">
        <v>649</v>
      </c>
      <c r="I100" s="12">
        <v>29.4</v>
      </c>
    </row>
    <row r="101" spans="1:9" x14ac:dyDescent="0.35">
      <c r="A101" s="12" t="s">
        <v>19</v>
      </c>
      <c r="B101" s="12">
        <v>2025</v>
      </c>
      <c r="C101" s="12">
        <v>2993430</v>
      </c>
      <c r="D101" s="13">
        <v>53.4</v>
      </c>
      <c r="E101" s="13">
        <v>59.8</v>
      </c>
      <c r="F101" s="13">
        <v>16.2</v>
      </c>
      <c r="G101" s="13">
        <v>28.4</v>
      </c>
      <c r="H101" s="12">
        <v>612</v>
      </c>
      <c r="I101" s="12">
        <v>80.400000000000006</v>
      </c>
    </row>
    <row r="102" spans="1:9" x14ac:dyDescent="0.35">
      <c r="A102" s="12" t="s">
        <v>21</v>
      </c>
      <c r="B102" s="12">
        <v>2015</v>
      </c>
      <c r="C102" s="12">
        <v>2728087</v>
      </c>
      <c r="D102" s="13">
        <v>47</v>
      </c>
      <c r="E102" s="13">
        <v>55.1</v>
      </c>
      <c r="F102" s="13">
        <v>8.8000000000000007</v>
      </c>
      <c r="G102" s="13">
        <v>19.7</v>
      </c>
      <c r="H102" s="12">
        <v>1204</v>
      </c>
      <c r="I102" s="12">
        <v>75.8</v>
      </c>
    </row>
    <row r="103" spans="1:9" x14ac:dyDescent="0.35">
      <c r="A103" s="12" t="s">
        <v>21</v>
      </c>
      <c r="B103" s="12">
        <v>2016</v>
      </c>
      <c r="C103" s="12">
        <v>2779371</v>
      </c>
      <c r="D103" s="13">
        <v>53.6</v>
      </c>
      <c r="E103" s="13">
        <v>61.2</v>
      </c>
      <c r="F103" s="13">
        <v>7.7</v>
      </c>
      <c r="G103" s="13">
        <v>19.8</v>
      </c>
      <c r="H103" s="12">
        <v>1236</v>
      </c>
      <c r="I103" s="12">
        <v>75.7</v>
      </c>
    </row>
    <row r="104" spans="1:9" x14ac:dyDescent="0.35">
      <c r="A104" s="12" t="s">
        <v>21</v>
      </c>
      <c r="B104" s="12">
        <v>2017</v>
      </c>
      <c r="C104" s="12">
        <v>2917412</v>
      </c>
      <c r="D104" s="13">
        <v>49.1</v>
      </c>
      <c r="E104" s="13">
        <v>55.5</v>
      </c>
      <c r="F104" s="13">
        <v>10.9</v>
      </c>
      <c r="G104" s="13">
        <v>23.2</v>
      </c>
      <c r="H104" s="12">
        <v>916</v>
      </c>
      <c r="I104" s="12">
        <v>41.9</v>
      </c>
    </row>
    <row r="105" spans="1:9" x14ac:dyDescent="0.35">
      <c r="A105" s="12" t="s">
        <v>21</v>
      </c>
      <c r="B105" s="12">
        <v>2018</v>
      </c>
      <c r="C105" s="12">
        <v>2889373</v>
      </c>
      <c r="D105" s="13">
        <v>51.3</v>
      </c>
      <c r="E105" s="13">
        <v>57.1</v>
      </c>
      <c r="F105" s="13">
        <v>9.3000000000000007</v>
      </c>
      <c r="G105" s="13">
        <v>28.5</v>
      </c>
      <c r="H105" s="12">
        <v>896</v>
      </c>
      <c r="I105" s="12">
        <v>70.2</v>
      </c>
    </row>
    <row r="106" spans="1:9" x14ac:dyDescent="0.35">
      <c r="A106" s="12" t="s">
        <v>21</v>
      </c>
      <c r="B106" s="12">
        <v>2019</v>
      </c>
      <c r="C106" s="12">
        <v>3151293</v>
      </c>
      <c r="D106" s="13">
        <v>53.1</v>
      </c>
      <c r="E106" s="13">
        <v>58.4</v>
      </c>
      <c r="F106" s="13">
        <v>11.1</v>
      </c>
      <c r="G106" s="13">
        <v>20.9</v>
      </c>
      <c r="H106" s="12">
        <v>1083</v>
      </c>
      <c r="I106" s="12">
        <v>45.4</v>
      </c>
    </row>
    <row r="107" spans="1:9" x14ac:dyDescent="0.35">
      <c r="A107" s="12" t="s">
        <v>21</v>
      </c>
      <c r="B107" s="12">
        <v>2020</v>
      </c>
      <c r="C107" s="12">
        <v>3377112</v>
      </c>
      <c r="D107" s="13">
        <v>46.2</v>
      </c>
      <c r="E107" s="13">
        <v>57.1</v>
      </c>
      <c r="F107" s="13">
        <v>7.9</v>
      </c>
      <c r="G107" s="13">
        <v>20.7</v>
      </c>
      <c r="H107" s="12">
        <v>883</v>
      </c>
      <c r="I107" s="12">
        <v>64.900000000000006</v>
      </c>
    </row>
    <row r="108" spans="1:9" x14ac:dyDescent="0.35">
      <c r="A108" s="12" t="s">
        <v>21</v>
      </c>
      <c r="B108" s="12">
        <v>2021</v>
      </c>
      <c r="C108" s="12">
        <v>3117827</v>
      </c>
      <c r="D108" s="13">
        <v>50</v>
      </c>
      <c r="E108" s="13">
        <v>60.9</v>
      </c>
      <c r="F108" s="13">
        <v>10.1</v>
      </c>
      <c r="G108" s="13">
        <v>26.8</v>
      </c>
      <c r="H108" s="12">
        <v>1146</v>
      </c>
      <c r="I108" s="12">
        <v>34.1</v>
      </c>
    </row>
    <row r="109" spans="1:9" x14ac:dyDescent="0.35">
      <c r="A109" s="12" t="s">
        <v>21</v>
      </c>
      <c r="B109" s="12">
        <v>2022</v>
      </c>
      <c r="C109" s="12">
        <v>3404184</v>
      </c>
      <c r="D109" s="13">
        <v>50.8</v>
      </c>
      <c r="E109" s="13">
        <v>58.7</v>
      </c>
      <c r="F109" s="13">
        <v>10.3</v>
      </c>
      <c r="G109" s="13">
        <v>30.7</v>
      </c>
      <c r="H109" s="12">
        <v>1154</v>
      </c>
      <c r="I109" s="12">
        <v>79.2</v>
      </c>
    </row>
    <row r="110" spans="1:9" x14ac:dyDescent="0.35">
      <c r="A110" s="12" t="s">
        <v>21</v>
      </c>
      <c r="B110" s="12">
        <v>2023</v>
      </c>
      <c r="C110" s="12">
        <v>3616073</v>
      </c>
      <c r="D110" s="13">
        <v>48.8</v>
      </c>
      <c r="E110" s="13">
        <v>60.1</v>
      </c>
      <c r="F110" s="13">
        <v>8</v>
      </c>
      <c r="G110" s="13">
        <v>23.8</v>
      </c>
      <c r="H110" s="12">
        <v>990</v>
      </c>
      <c r="I110" s="12">
        <v>27.2</v>
      </c>
    </row>
    <row r="111" spans="1:9" x14ac:dyDescent="0.35">
      <c r="A111" s="12" t="s">
        <v>21</v>
      </c>
      <c r="B111" s="12">
        <v>2024</v>
      </c>
      <c r="C111" s="12">
        <v>3758814</v>
      </c>
      <c r="D111" s="13">
        <v>53.5</v>
      </c>
      <c r="E111" s="13">
        <v>63</v>
      </c>
      <c r="F111" s="13">
        <v>12.5</v>
      </c>
      <c r="G111" s="13">
        <v>20.100000000000001</v>
      </c>
      <c r="H111" s="12">
        <v>976</v>
      </c>
      <c r="I111" s="12">
        <v>64.599999999999994</v>
      </c>
    </row>
    <row r="112" spans="1:9" x14ac:dyDescent="0.35">
      <c r="A112" s="12" t="s">
        <v>21</v>
      </c>
      <c r="B112" s="12">
        <v>2025</v>
      </c>
      <c r="C112" s="12">
        <v>3982715</v>
      </c>
      <c r="D112" s="13">
        <v>49.2</v>
      </c>
      <c r="E112" s="13">
        <v>55.2</v>
      </c>
      <c r="F112" s="13">
        <v>11.6</v>
      </c>
      <c r="G112" s="13">
        <v>26.7</v>
      </c>
      <c r="H112" s="12">
        <v>1195</v>
      </c>
      <c r="I112" s="12">
        <v>29.7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2DB25-3A84-4108-9067-E3D3A951A44C}">
  <dimension ref="A1:L15"/>
  <sheetViews>
    <sheetView zoomScale="57" zoomScaleNormal="57" workbookViewId="0">
      <selection activeCell="E1" sqref="E1"/>
    </sheetView>
  </sheetViews>
  <sheetFormatPr defaultRowHeight="14.5" x14ac:dyDescent="0.35"/>
  <cols>
    <col min="1" max="1" width="14.7265625" style="7" bestFit="1" customWidth="1"/>
    <col min="2" max="2" width="17.1796875" style="7" bestFit="1" customWidth="1"/>
    <col min="3" max="3" width="8.7265625" style="7"/>
    <col min="4" max="4" width="14.7265625" style="7" bestFit="1" customWidth="1"/>
    <col min="5" max="5" width="29" style="7" bestFit="1" customWidth="1"/>
    <col min="6" max="6" width="15.26953125" style="7" bestFit="1" customWidth="1"/>
    <col min="7" max="7" width="14.7265625" style="7" bestFit="1" customWidth="1"/>
    <col min="8" max="8" width="30.08984375" style="7" bestFit="1" customWidth="1"/>
    <col min="9" max="9" width="25.7265625" style="7" bestFit="1" customWidth="1"/>
    <col min="10" max="10" width="15.26953125" style="7" bestFit="1" customWidth="1"/>
    <col min="11" max="11" width="14.7265625" style="7" bestFit="1" customWidth="1"/>
    <col min="12" max="32" width="24.36328125" style="7" bestFit="1" customWidth="1"/>
    <col min="33" max="33" width="16.54296875" style="7" bestFit="1" customWidth="1"/>
    <col min="34" max="34" width="29.26953125" style="7" bestFit="1" customWidth="1"/>
    <col min="35" max="94" width="15.26953125" style="7" bestFit="1" customWidth="1"/>
    <col min="95" max="96" width="10.7265625" style="7" bestFit="1" customWidth="1"/>
    <col min="97" max="16384" width="8.7265625" style="7"/>
  </cols>
  <sheetData>
    <row r="1" spans="1:12" ht="23.5" x14ac:dyDescent="0.55000000000000004">
      <c r="E1" s="8" t="s">
        <v>38</v>
      </c>
    </row>
    <row r="3" spans="1:12" x14ac:dyDescent="0.35">
      <c r="A3" s="7" t="s">
        <v>31</v>
      </c>
      <c r="B3" s="7" t="s">
        <v>33</v>
      </c>
      <c r="D3" s="7" t="s">
        <v>31</v>
      </c>
      <c r="E3" s="7" t="s">
        <v>34</v>
      </c>
      <c r="G3" s="7" t="s">
        <v>31</v>
      </c>
      <c r="H3" s="7" t="s">
        <v>35</v>
      </c>
      <c r="I3" s="7" t="s">
        <v>36</v>
      </c>
      <c r="K3" s="7" t="s">
        <v>31</v>
      </c>
      <c r="L3" s="7" t="s">
        <v>37</v>
      </c>
    </row>
    <row r="4" spans="1:12" x14ac:dyDescent="0.35">
      <c r="A4" s="9" t="s">
        <v>16</v>
      </c>
      <c r="B4" s="10">
        <v>48289325</v>
      </c>
      <c r="D4" s="9">
        <v>2015</v>
      </c>
      <c r="E4" s="10">
        <v>473.9</v>
      </c>
      <c r="G4" s="9" t="s">
        <v>16</v>
      </c>
      <c r="H4" s="11">
        <v>270.2</v>
      </c>
      <c r="I4" s="10">
        <v>15282</v>
      </c>
      <c r="K4" s="9">
        <v>2015</v>
      </c>
      <c r="L4" s="10">
        <v>679.49999999999989</v>
      </c>
    </row>
    <row r="5" spans="1:12" x14ac:dyDescent="0.35">
      <c r="A5" s="9" t="s">
        <v>10</v>
      </c>
      <c r="B5" s="10">
        <v>54993572</v>
      </c>
      <c r="D5" s="9">
        <v>2016</v>
      </c>
      <c r="E5" s="10">
        <v>601.5</v>
      </c>
      <c r="G5" s="9" t="s">
        <v>10</v>
      </c>
      <c r="H5" s="11">
        <v>279.39999999999998</v>
      </c>
      <c r="I5" s="10">
        <v>7329</v>
      </c>
      <c r="K5" s="9">
        <v>2016</v>
      </c>
      <c r="L5" s="10">
        <v>631.00000000000011</v>
      </c>
    </row>
    <row r="6" spans="1:12" x14ac:dyDescent="0.35">
      <c r="A6" s="9" t="s">
        <v>12</v>
      </c>
      <c r="B6" s="10">
        <v>64071200</v>
      </c>
      <c r="D6" s="9">
        <v>2017</v>
      </c>
      <c r="E6" s="10">
        <v>605.20000000000005</v>
      </c>
      <c r="G6" s="9" t="s">
        <v>12</v>
      </c>
      <c r="H6" s="11">
        <v>265.8</v>
      </c>
      <c r="I6" s="10">
        <v>5235</v>
      </c>
      <c r="K6" s="9">
        <v>2017</v>
      </c>
      <c r="L6" s="10">
        <v>589.69999999999993</v>
      </c>
    </row>
    <row r="7" spans="1:12" x14ac:dyDescent="0.35">
      <c r="A7" s="9" t="s">
        <v>23</v>
      </c>
      <c r="B7" s="10">
        <v>9361839</v>
      </c>
      <c r="D7" s="9">
        <v>2018</v>
      </c>
      <c r="E7" s="10">
        <v>542.20000000000005</v>
      </c>
      <c r="G7" s="9" t="s">
        <v>23</v>
      </c>
      <c r="H7" s="11">
        <v>286</v>
      </c>
      <c r="I7" s="10">
        <v>14377</v>
      </c>
      <c r="K7" s="9">
        <v>2018</v>
      </c>
      <c r="L7" s="10">
        <v>623</v>
      </c>
    </row>
    <row r="8" spans="1:12" x14ac:dyDescent="0.35">
      <c r="A8" s="9" t="s">
        <v>19</v>
      </c>
      <c r="B8" s="10">
        <v>24692607</v>
      </c>
      <c r="D8" s="9">
        <v>2019</v>
      </c>
      <c r="E8" s="10">
        <v>540</v>
      </c>
      <c r="G8" s="9" t="s">
        <v>19</v>
      </c>
      <c r="H8" s="11">
        <v>279.90000000000003</v>
      </c>
      <c r="I8" s="10">
        <v>5819</v>
      </c>
      <c r="K8" s="9">
        <v>2019</v>
      </c>
      <c r="L8" s="10">
        <v>516.50000000000011</v>
      </c>
    </row>
    <row r="9" spans="1:12" x14ac:dyDescent="0.35">
      <c r="A9" s="9" t="s">
        <v>11</v>
      </c>
      <c r="B9" s="10">
        <v>7932888</v>
      </c>
      <c r="D9" s="9">
        <v>2020</v>
      </c>
      <c r="E9" s="10">
        <v>564.20000000000005</v>
      </c>
      <c r="G9" s="9" t="s">
        <v>11</v>
      </c>
      <c r="H9" s="11">
        <v>257.89999999999998</v>
      </c>
      <c r="I9" s="10">
        <v>8187</v>
      </c>
      <c r="K9" s="9">
        <v>2020</v>
      </c>
      <c r="L9" s="10">
        <v>587.6</v>
      </c>
    </row>
    <row r="10" spans="1:12" x14ac:dyDescent="0.35">
      <c r="A10" s="9" t="s">
        <v>9</v>
      </c>
      <c r="B10" s="10">
        <v>9784819</v>
      </c>
      <c r="D10" s="9">
        <v>2021</v>
      </c>
      <c r="E10" s="10">
        <v>622.40000000000009</v>
      </c>
      <c r="G10" s="9" t="s">
        <v>9</v>
      </c>
      <c r="H10" s="11">
        <v>287.20000000000005</v>
      </c>
      <c r="I10" s="10">
        <v>15341</v>
      </c>
      <c r="K10" s="9">
        <v>2021</v>
      </c>
      <c r="L10" s="10">
        <v>628</v>
      </c>
    </row>
    <row r="11" spans="1:12" x14ac:dyDescent="0.35">
      <c r="A11" s="9" t="s">
        <v>14</v>
      </c>
      <c r="B11" s="10">
        <v>63431971</v>
      </c>
      <c r="D11" s="9">
        <v>2022</v>
      </c>
      <c r="E11" s="10">
        <v>545.29999999999995</v>
      </c>
      <c r="G11" s="9" t="s">
        <v>14</v>
      </c>
      <c r="H11" s="11">
        <v>278</v>
      </c>
      <c r="I11" s="10">
        <v>13096</v>
      </c>
      <c r="K11" s="9">
        <v>2022</v>
      </c>
      <c r="L11" s="10">
        <v>538.19999999999993</v>
      </c>
    </row>
    <row r="12" spans="1:12" x14ac:dyDescent="0.35">
      <c r="A12" s="9" t="s">
        <v>21</v>
      </c>
      <c r="B12" s="10">
        <v>35722261</v>
      </c>
      <c r="D12" s="9">
        <v>2023</v>
      </c>
      <c r="E12" s="10">
        <v>596.5</v>
      </c>
      <c r="G12" s="9" t="s">
        <v>21</v>
      </c>
      <c r="H12" s="11">
        <v>260.89999999999998</v>
      </c>
      <c r="I12" s="10">
        <v>11679</v>
      </c>
      <c r="K12" s="9">
        <v>2023</v>
      </c>
      <c r="L12" s="10">
        <v>583.40000000000009</v>
      </c>
    </row>
    <row r="13" spans="1:12" x14ac:dyDescent="0.35">
      <c r="A13" s="9" t="s">
        <v>18</v>
      </c>
      <c r="B13" s="10">
        <v>59835514</v>
      </c>
      <c r="D13" s="9">
        <v>2024</v>
      </c>
      <c r="E13" s="10">
        <v>621.19999999999993</v>
      </c>
      <c r="G13" s="9" t="s">
        <v>18</v>
      </c>
      <c r="H13" s="11">
        <v>257.30000000000007</v>
      </c>
      <c r="I13" s="10">
        <v>10989</v>
      </c>
      <c r="K13" s="9">
        <v>2024</v>
      </c>
      <c r="L13" s="10">
        <v>553.69999999999993</v>
      </c>
    </row>
    <row r="14" spans="1:12" x14ac:dyDescent="0.35">
      <c r="A14" s="9" t="s">
        <v>32</v>
      </c>
      <c r="B14" s="10">
        <v>378115996</v>
      </c>
      <c r="D14" s="9">
        <v>2025</v>
      </c>
      <c r="E14" s="10">
        <v>453.69999999999993</v>
      </c>
      <c r="G14" s="9" t="s">
        <v>32</v>
      </c>
      <c r="H14" s="11">
        <v>2722.6</v>
      </c>
      <c r="I14" s="10">
        <v>107334</v>
      </c>
      <c r="K14" s="9">
        <v>2025</v>
      </c>
      <c r="L14" s="10">
        <v>493.90000000000003</v>
      </c>
    </row>
    <row r="15" spans="1:12" x14ac:dyDescent="0.35">
      <c r="D15" s="9" t="s">
        <v>32</v>
      </c>
      <c r="E15" s="10">
        <v>6166.0999999999995</v>
      </c>
      <c r="K15" s="9" t="s">
        <v>32</v>
      </c>
      <c r="L15" s="10">
        <v>6424.4999999999991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5EE5A-D522-4FA6-A95D-C1A3AC03CCAE}">
  <dimension ref="A1:I7"/>
  <sheetViews>
    <sheetView tabSelected="1" zoomScale="76" zoomScaleNormal="76" workbookViewId="0">
      <selection activeCell="D4" sqref="D4"/>
    </sheetView>
  </sheetViews>
  <sheetFormatPr defaultRowHeight="14.5" x14ac:dyDescent="0.35"/>
  <cols>
    <col min="1" max="1" width="9.26953125" style="4" bestFit="1" customWidth="1"/>
    <col min="2" max="2" width="8.81640625" style="4" bestFit="1" customWidth="1"/>
    <col min="3" max="3" width="12.26953125" style="4" bestFit="1" customWidth="1"/>
    <col min="4" max="4" width="23.81640625" style="4" bestFit="1" customWidth="1"/>
    <col min="5" max="5" width="16.90625" style="4" bestFit="1" customWidth="1"/>
    <col min="6" max="6" width="23.6328125" style="4" bestFit="1" customWidth="1"/>
    <col min="7" max="7" width="24.1796875" style="4" bestFit="1" customWidth="1"/>
    <col min="8" max="8" width="20.6328125" style="4" bestFit="1" customWidth="1"/>
    <col min="9" max="9" width="19" style="4" bestFit="1" customWidth="1"/>
    <col min="10" max="16384" width="8.7265625" style="4"/>
  </cols>
  <sheetData>
    <row r="1" spans="1:9" x14ac:dyDescent="0.35">
      <c r="A1" s="3"/>
    </row>
    <row r="7" spans="1:9" x14ac:dyDescent="0.35">
      <c r="E7" s="5">
        <f>SUM(cleaning!C:C)</f>
        <v>378115996</v>
      </c>
      <c r="G7" s="5">
        <f>SUM(cleaning!H:H)</f>
        <v>214668</v>
      </c>
      <c r="I7" s="6">
        <f>SUM(Table1[Average_Temperature_C])</f>
        <v>2722.6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2775C-3C19-435B-A3FE-1E5AC96CA194}">
  <dimension ref="A1:I14"/>
  <sheetViews>
    <sheetView workbookViewId="0">
      <selection activeCell="B1" sqref="B1"/>
    </sheetView>
  </sheetViews>
  <sheetFormatPr defaultRowHeight="14.5" x14ac:dyDescent="0.35"/>
  <cols>
    <col min="1" max="1" width="9.26953125" bestFit="1" customWidth="1"/>
    <col min="2" max="2" width="8.81640625" bestFit="1" customWidth="1"/>
    <col min="3" max="3" width="12.26953125" bestFit="1" customWidth="1"/>
    <col min="4" max="4" width="23.81640625" bestFit="1" customWidth="1"/>
    <col min="5" max="5" width="16.90625" bestFit="1" customWidth="1"/>
    <col min="6" max="6" width="23.6328125" bestFit="1" customWidth="1"/>
    <col min="7" max="7" width="24.1796875" bestFit="1" customWidth="1"/>
    <col min="8" max="8" width="20.6328125" bestFit="1" customWidth="1"/>
    <col min="9" max="9" width="19" bestFit="1" customWidth="1"/>
  </cols>
  <sheetData>
    <row r="1" spans="1:9" x14ac:dyDescent="0.35">
      <c r="A1" s="2" t="s">
        <v>39</v>
      </c>
    </row>
    <row r="3" spans="1:9" x14ac:dyDescent="0.35">
      <c r="A3" t="s">
        <v>0</v>
      </c>
      <c r="B3" t="s">
        <v>1</v>
      </c>
      <c r="C3" t="s">
        <v>2</v>
      </c>
      <c r="D3" t="s">
        <v>3</v>
      </c>
      <c r="E3" t="s">
        <v>4</v>
      </c>
      <c r="F3" t="s">
        <v>5</v>
      </c>
      <c r="G3" t="s">
        <v>6</v>
      </c>
      <c r="H3" t="s">
        <v>7</v>
      </c>
      <c r="I3" t="s">
        <v>8</v>
      </c>
    </row>
    <row r="4" spans="1:9" x14ac:dyDescent="0.35">
      <c r="A4" t="s">
        <v>16</v>
      </c>
      <c r="B4">
        <v>2025</v>
      </c>
      <c r="C4">
        <v>5156368</v>
      </c>
      <c r="D4">
        <v>65.5</v>
      </c>
      <c r="E4">
        <v>75.099999999999994</v>
      </c>
      <c r="F4">
        <v>12</v>
      </c>
      <c r="G4">
        <v>22.4</v>
      </c>
      <c r="H4">
        <v>1455</v>
      </c>
      <c r="I4">
        <v>70.3</v>
      </c>
    </row>
    <row r="5" spans="1:9" x14ac:dyDescent="0.35">
      <c r="A5" t="s">
        <v>16</v>
      </c>
      <c r="B5">
        <v>2024</v>
      </c>
      <c r="C5">
        <v>5381662</v>
      </c>
      <c r="D5">
        <v>68.5</v>
      </c>
      <c r="E5">
        <v>74</v>
      </c>
      <c r="F5">
        <v>6.8</v>
      </c>
      <c r="G5">
        <v>25.3</v>
      </c>
      <c r="H5">
        <v>1374</v>
      </c>
      <c r="I5">
        <v>75.900000000000006</v>
      </c>
    </row>
    <row r="6" spans="1:9" x14ac:dyDescent="0.35">
      <c r="A6" t="s">
        <v>16</v>
      </c>
      <c r="B6">
        <v>2023</v>
      </c>
      <c r="C6">
        <v>4661908</v>
      </c>
      <c r="D6">
        <v>70.5</v>
      </c>
      <c r="E6">
        <v>77.599999999999994</v>
      </c>
      <c r="F6">
        <v>6.7</v>
      </c>
      <c r="G6">
        <v>30</v>
      </c>
      <c r="H6">
        <v>1536</v>
      </c>
      <c r="I6">
        <v>48.7</v>
      </c>
    </row>
    <row r="7" spans="1:9" x14ac:dyDescent="0.35">
      <c r="A7" t="s">
        <v>16</v>
      </c>
      <c r="B7">
        <v>2022</v>
      </c>
      <c r="C7">
        <v>4894670</v>
      </c>
      <c r="E7">
        <v>76.5</v>
      </c>
      <c r="F7">
        <v>9.1999999999999993</v>
      </c>
      <c r="G7">
        <v>20.5</v>
      </c>
      <c r="H7">
        <v>1475</v>
      </c>
      <c r="I7">
        <v>68.599999999999994</v>
      </c>
    </row>
    <row r="8" spans="1:9" x14ac:dyDescent="0.35">
      <c r="A8" t="s">
        <v>16</v>
      </c>
      <c r="B8">
        <v>2021</v>
      </c>
      <c r="C8">
        <v>4455350</v>
      </c>
      <c r="D8">
        <v>68.099999999999994</v>
      </c>
      <c r="E8">
        <v>74.3</v>
      </c>
      <c r="F8">
        <v>11.1</v>
      </c>
      <c r="G8">
        <v>19.5</v>
      </c>
      <c r="H8">
        <v>1432</v>
      </c>
      <c r="I8">
        <v>65.099999999999994</v>
      </c>
    </row>
    <row r="9" spans="1:9" x14ac:dyDescent="0.35">
      <c r="A9" t="s">
        <v>16</v>
      </c>
      <c r="B9">
        <v>2020</v>
      </c>
      <c r="C9">
        <v>4209152</v>
      </c>
      <c r="D9">
        <v>68.3</v>
      </c>
      <c r="E9">
        <v>75.099999999999994</v>
      </c>
      <c r="F9">
        <v>6.8</v>
      </c>
      <c r="G9">
        <v>30.9</v>
      </c>
      <c r="H9">
        <v>1297</v>
      </c>
      <c r="I9">
        <v>67.400000000000006</v>
      </c>
    </row>
    <row r="10" spans="1:9" x14ac:dyDescent="0.35">
      <c r="A10" t="s">
        <v>16</v>
      </c>
      <c r="B10">
        <v>2019</v>
      </c>
      <c r="C10">
        <v>4340384</v>
      </c>
      <c r="D10">
        <v>65.3</v>
      </c>
      <c r="E10">
        <v>74</v>
      </c>
      <c r="F10">
        <v>16.7</v>
      </c>
      <c r="G10">
        <v>25.1</v>
      </c>
      <c r="H10">
        <v>1306</v>
      </c>
      <c r="I10">
        <v>73.3</v>
      </c>
    </row>
    <row r="11" spans="1:9" x14ac:dyDescent="0.35">
      <c r="A11" t="s">
        <v>16</v>
      </c>
      <c r="B11">
        <v>2018</v>
      </c>
      <c r="C11">
        <v>3874823</v>
      </c>
      <c r="D11">
        <v>68.400000000000006</v>
      </c>
      <c r="E11">
        <v>78.8</v>
      </c>
      <c r="F11">
        <v>13.9</v>
      </c>
      <c r="G11">
        <v>26.3</v>
      </c>
      <c r="H11">
        <v>1177</v>
      </c>
      <c r="I11">
        <v>53.7</v>
      </c>
    </row>
    <row r="12" spans="1:9" x14ac:dyDescent="0.35">
      <c r="A12" t="s">
        <v>16</v>
      </c>
      <c r="B12">
        <v>2017</v>
      </c>
      <c r="C12">
        <v>3929516</v>
      </c>
      <c r="D12">
        <v>69.5</v>
      </c>
      <c r="E12">
        <v>77.3</v>
      </c>
      <c r="F12">
        <v>7.4</v>
      </c>
      <c r="G12">
        <v>26</v>
      </c>
      <c r="H12">
        <v>1159</v>
      </c>
      <c r="I12">
        <v>35.6</v>
      </c>
    </row>
    <row r="13" spans="1:9" x14ac:dyDescent="0.35">
      <c r="A13" t="s">
        <v>16</v>
      </c>
      <c r="B13">
        <v>2016</v>
      </c>
      <c r="C13">
        <v>3735795</v>
      </c>
      <c r="D13">
        <v>68.7</v>
      </c>
      <c r="E13">
        <v>79.099999999999994</v>
      </c>
      <c r="F13">
        <v>7.6</v>
      </c>
      <c r="G13">
        <v>25.4</v>
      </c>
      <c r="H13">
        <v>1553</v>
      </c>
      <c r="I13">
        <v>80</v>
      </c>
    </row>
    <row r="14" spans="1:9" x14ac:dyDescent="0.35">
      <c r="A14" t="s">
        <v>16</v>
      </c>
      <c r="B14">
        <v>2015</v>
      </c>
      <c r="C14">
        <v>3649697</v>
      </c>
      <c r="D14">
        <v>69.2</v>
      </c>
      <c r="E14">
        <v>74.8</v>
      </c>
      <c r="F14">
        <v>12.2</v>
      </c>
      <c r="G14">
        <v>18.8</v>
      </c>
      <c r="H14">
        <v>1518</v>
      </c>
      <c r="I14">
        <v>29.2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Kenya_Data</vt:lpstr>
      <vt:lpstr>cleaning</vt:lpstr>
      <vt:lpstr>Pivot tables</vt:lpstr>
      <vt:lpstr>Charts &amp;dashboards</vt:lpstr>
      <vt:lpstr>Detail1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BEST</cp:lastModifiedBy>
  <dcterms:created xsi:type="dcterms:W3CDTF">2026-05-22T08:53:28Z</dcterms:created>
  <dcterms:modified xsi:type="dcterms:W3CDTF">2026-05-25T06:54:31Z</dcterms:modified>
</cp:coreProperties>
</file>